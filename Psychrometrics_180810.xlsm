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325" codeName="{A93C3448-2578-E12B-C58C-25EFAD1D314E}"/>
  <workbookPr codeName="ThisWorkbook"/>
  <mc:AlternateContent xmlns:mc="http://schemas.openxmlformats.org/markup-compatibility/2006">
    <mc:Choice Requires="x15">
      <x15ac:absPath xmlns:x15ac="http://schemas.microsoft.com/office/spreadsheetml/2010/11/ac" url="P:\_Data\Physics\Thermodynamics\"/>
    </mc:Choice>
  </mc:AlternateContent>
  <xr:revisionPtr revIDLastSave="0" documentId="13_ncr:1_{4A3C0F62-1F00-4868-BB5A-2DB413D09B07}" xr6:coauthVersionLast="34" xr6:coauthVersionMax="34" xr10:uidLastSave="{00000000-0000-0000-0000-000000000000}"/>
  <bookViews>
    <workbookView xWindow="240" yWindow="195" windowWidth="11580" windowHeight="7005" tabRatio="677" xr2:uid="{00000000-000D-0000-FFFF-FFFF00000000}"/>
  </bookViews>
  <sheets>
    <sheet name="Psychrometrics" sheetId="4" r:id="rId1"/>
    <sheet name="chart data" sheetId="5" state="hidden" r:id="rId2"/>
  </sheets>
  <functionGroups builtInGroupCount="19"/>
  <definedNames>
    <definedName name="a_1">Psychrometrics!$Z$2</definedName>
    <definedName name="a_2">Psychrometrics!$Z$3</definedName>
    <definedName name="a_3">Psychrometrics!$Z$4</definedName>
    <definedName name="a_4">Psychrometrics!$Z$5</definedName>
    <definedName name="a_5">Psychrometrics!$Z$6</definedName>
    <definedName name="a_6">Psychrometrics!$Z$7</definedName>
    <definedName name="b_1">Psychrometrics!$AA$2</definedName>
    <definedName name="b_2">Psychrometrics!$AA$3</definedName>
    <definedName name="b_3">Psychrometrics!$AA$4</definedName>
    <definedName name="b_4">Psychrometrics!$AA$5</definedName>
    <definedName name="b_5">Psychrometrics!$AA$6</definedName>
    <definedName name="b_6">Psychrometrics!$AA$7</definedName>
    <definedName name="solver_adj" localSheetId="0" hidden="1">Psychrometrics!$AA$2:$AA$7</definedName>
    <definedName name="solver_cvg" localSheetId="0" hidden="1">0.0001</definedName>
    <definedName name="solver_drv" localSheetId="0" hidden="1">2</definedName>
    <definedName name="solver_est" localSheetId="0" hidden="1">2</definedName>
    <definedName name="solver_itr" localSheetId="0" hidden="1">100</definedName>
    <definedName name="solver_lin" localSheetId="0" hidden="1">2</definedName>
    <definedName name="solver_neg" localSheetId="0" hidden="1">2</definedName>
    <definedName name="solver_num" localSheetId="0" hidden="1">0</definedName>
    <definedName name="solver_nwt" localSheetId="0" hidden="1">1</definedName>
    <definedName name="solver_opt" localSheetId="0" hidden="1">Psychrometrics!$AA$8</definedName>
    <definedName name="solver_pre" localSheetId="0" hidden="1">0.0000001</definedName>
    <definedName name="solver_scl" localSheetId="0" hidden="1">2</definedName>
    <definedName name="solver_sho" localSheetId="0" hidden="1">2</definedName>
    <definedName name="solver_tim" localSheetId="0" hidden="1">100</definedName>
    <definedName name="solver_tol" localSheetId="0" hidden="1">0.01</definedName>
    <definedName name="solver_typ" localSheetId="0" hidden="1">2</definedName>
    <definedName name="solver_val" localSheetId="0" hidden="1">0.5</definedName>
  </definedNames>
  <calcPr calcId="179021"/>
</workbook>
</file>

<file path=xl/calcChain.xml><?xml version="1.0" encoding="utf-8"?>
<calcChain xmlns="http://schemas.openxmlformats.org/spreadsheetml/2006/main">
  <c r="B42" i="4" l="1"/>
  <c r="D13" i="4" l="1"/>
  <c r="D3" i="4"/>
  <c r="A31" i="5"/>
  <c r="A30" i="5"/>
  <c r="A29" i="5"/>
  <c r="A28" i="5"/>
  <c r="N30" i="5"/>
  <c r="A4" i="5"/>
  <c r="A5" i="5" s="1"/>
  <c r="F3" i="5"/>
  <c r="B34" i="4"/>
  <c r="K3" i="5"/>
  <c r="B26" i="4"/>
  <c r="B28" i="4"/>
  <c r="I3" i="5"/>
  <c r="J3" i="5"/>
  <c r="B3" i="5"/>
  <c r="B40" i="4"/>
  <c r="B22" i="4"/>
  <c r="C3" i="5"/>
  <c r="B8" i="4"/>
  <c r="D3" i="5"/>
  <c r="B27" i="4"/>
  <c r="H3" i="5"/>
  <c r="B25" i="4"/>
  <c r="I5" i="5"/>
  <c r="E3" i="5"/>
  <c r="B15" i="4"/>
  <c r="G3" i="5"/>
  <c r="B31" i="4"/>
  <c r="B5" i="4"/>
  <c r="B7" i="4" s="1"/>
  <c r="B17" i="4"/>
  <c r="B43" i="4" l="1"/>
  <c r="A6" i="5"/>
  <c r="D22" i="4"/>
  <c r="M29" i="5"/>
  <c r="L28" i="5"/>
  <c r="D40" i="4"/>
  <c r="D31" i="4"/>
  <c r="B33" i="4"/>
  <c r="C4" i="5"/>
  <c r="F4" i="5"/>
  <c r="J5" i="5"/>
  <c r="B24" i="4"/>
  <c r="B35" i="4"/>
  <c r="K4" i="5"/>
  <c r="E5" i="5"/>
  <c r="B5" i="5"/>
  <c r="B4" i="5"/>
  <c r="G4" i="5"/>
  <c r="B16" i="4"/>
  <c r="B18" i="4"/>
  <c r="H4" i="5"/>
  <c r="I4" i="5"/>
  <c r="B36" i="4"/>
  <c r="B9" i="4"/>
  <c r="K5" i="5"/>
  <c r="B6" i="4"/>
  <c r="E4" i="5"/>
  <c r="D5" i="5"/>
  <c r="B19" i="4"/>
  <c r="D4" i="5"/>
  <c r="C5" i="5"/>
  <c r="G5" i="5"/>
  <c r="F5" i="5"/>
  <c r="J4" i="5"/>
  <c r="H5" i="5"/>
  <c r="O31" i="5" l="1"/>
  <c r="A7" i="5"/>
  <c r="C6" i="5"/>
  <c r="F6" i="5"/>
  <c r="D6" i="5"/>
  <c r="K6" i="5"/>
  <c r="H6" i="5"/>
  <c r="B10" i="4"/>
  <c r="I6" i="5"/>
  <c r="G6" i="5"/>
  <c r="E6" i="5"/>
  <c r="J6" i="5"/>
  <c r="B6" i="5"/>
  <c r="A8" i="5" l="1"/>
  <c r="D7" i="5"/>
  <c r="I7" i="5"/>
  <c r="B7" i="5"/>
  <c r="H7" i="5"/>
  <c r="C7" i="5"/>
  <c r="E7" i="5"/>
  <c r="K7" i="5"/>
  <c r="J7" i="5"/>
  <c r="G7" i="5"/>
  <c r="F7" i="5"/>
  <c r="A9" i="5" l="1"/>
  <c r="E8" i="5"/>
  <c r="J8" i="5"/>
  <c r="B8" i="5"/>
  <c r="F8" i="5"/>
  <c r="K8" i="5"/>
  <c r="D8" i="5"/>
  <c r="I8" i="5"/>
  <c r="G8" i="5"/>
  <c r="H8" i="5"/>
  <c r="C8" i="5"/>
  <c r="A10" i="5" l="1"/>
  <c r="B9" i="5"/>
  <c r="I9" i="5"/>
  <c r="G9" i="5"/>
  <c r="J9" i="5"/>
  <c r="E9" i="5"/>
  <c r="K9" i="5"/>
  <c r="H9" i="5"/>
  <c r="C9" i="5"/>
  <c r="D9" i="5"/>
  <c r="F9" i="5"/>
  <c r="A11" i="5" l="1"/>
  <c r="I10" i="5"/>
  <c r="H10" i="5"/>
  <c r="K10" i="5"/>
  <c r="B10" i="5"/>
  <c r="D10" i="5"/>
  <c r="J10" i="5"/>
  <c r="E10" i="5"/>
  <c r="C10" i="5"/>
  <c r="F10" i="5"/>
  <c r="G10" i="5"/>
  <c r="A12" i="5" l="1"/>
  <c r="H11" i="5"/>
  <c r="I11" i="5"/>
  <c r="C11" i="5"/>
  <c r="D11" i="5"/>
  <c r="E11" i="5"/>
  <c r="B11" i="5"/>
  <c r="J11" i="5"/>
  <c r="K11" i="5"/>
  <c r="G11" i="5"/>
  <c r="F11" i="5"/>
  <c r="A13" i="5" l="1"/>
  <c r="I12" i="5"/>
  <c r="C12" i="5"/>
  <c r="B12" i="5"/>
  <c r="H12" i="5"/>
  <c r="E12" i="5"/>
  <c r="F12" i="5"/>
  <c r="D12" i="5"/>
  <c r="J12" i="5"/>
  <c r="G12" i="5"/>
  <c r="K12" i="5"/>
  <c r="A14" i="5" l="1"/>
  <c r="K13" i="5"/>
  <c r="H13" i="5"/>
  <c r="G13" i="5"/>
  <c r="J13" i="5"/>
  <c r="C13" i="5"/>
  <c r="B13" i="5"/>
  <c r="D13" i="5"/>
  <c r="F13" i="5"/>
  <c r="E13" i="5"/>
  <c r="I13" i="5"/>
  <c r="A15" i="5" l="1"/>
  <c r="D14" i="5"/>
  <c r="F14" i="5"/>
  <c r="I14" i="5"/>
  <c r="B14" i="5"/>
  <c r="H14" i="5"/>
  <c r="K14" i="5"/>
  <c r="G14" i="5"/>
  <c r="J14" i="5"/>
  <c r="C14" i="5"/>
  <c r="E14" i="5"/>
  <c r="A16" i="5" l="1"/>
  <c r="G15" i="5"/>
  <c r="E15" i="5"/>
  <c r="D15" i="5"/>
  <c r="J15" i="5"/>
  <c r="F15" i="5"/>
  <c r="K15" i="5"/>
  <c r="B15" i="5"/>
  <c r="I15" i="5"/>
  <c r="H15" i="5"/>
  <c r="C15" i="5"/>
  <c r="A17" i="5" l="1"/>
  <c r="D16" i="5"/>
  <c r="F16" i="5"/>
  <c r="G16" i="5"/>
  <c r="J16" i="5"/>
  <c r="B16" i="5"/>
  <c r="H16" i="5"/>
  <c r="E16" i="5"/>
  <c r="C16" i="5"/>
  <c r="I16" i="5"/>
  <c r="K16" i="5"/>
  <c r="A18" i="5" l="1"/>
  <c r="K17" i="5"/>
  <c r="F17" i="5"/>
  <c r="C17" i="5"/>
  <c r="H17" i="5"/>
  <c r="J17" i="5"/>
  <c r="I17" i="5"/>
  <c r="B17" i="5"/>
  <c r="G17" i="5"/>
  <c r="E17" i="5"/>
  <c r="D17" i="5"/>
  <c r="A19" i="5" l="1"/>
  <c r="D18" i="5"/>
  <c r="J18" i="5"/>
  <c r="E18" i="5"/>
  <c r="F18" i="5"/>
  <c r="H18" i="5"/>
  <c r="I18" i="5"/>
  <c r="K18" i="5"/>
  <c r="G18" i="5"/>
  <c r="C18" i="5"/>
  <c r="B18" i="5"/>
  <c r="A20" i="5" l="1"/>
  <c r="E19" i="5"/>
  <c r="D19" i="5"/>
  <c r="H19" i="5"/>
  <c r="I19" i="5"/>
  <c r="J19" i="5"/>
  <c r="K19" i="5"/>
  <c r="F19" i="5"/>
  <c r="C19" i="5"/>
  <c r="B19" i="5"/>
  <c r="G19" i="5"/>
  <c r="A21" i="5" l="1"/>
  <c r="D20" i="5"/>
  <c r="F20" i="5"/>
  <c r="H20" i="5"/>
  <c r="E20" i="5"/>
  <c r="G20" i="5"/>
  <c r="C20" i="5"/>
  <c r="B20" i="5"/>
  <c r="K20" i="5"/>
  <c r="I20" i="5"/>
  <c r="J20" i="5"/>
  <c r="A22" i="5" l="1"/>
  <c r="E21" i="5"/>
  <c r="J21" i="5"/>
  <c r="H21" i="5"/>
  <c r="B21" i="5"/>
  <c r="D21" i="5"/>
  <c r="I21" i="5"/>
  <c r="G21" i="5"/>
  <c r="F21" i="5"/>
  <c r="C21" i="5"/>
  <c r="K21" i="5"/>
  <c r="A23" i="5" l="1"/>
  <c r="G22" i="5"/>
  <c r="D22" i="5"/>
  <c r="I22" i="5"/>
  <c r="C22" i="5"/>
  <c r="J22" i="5"/>
  <c r="F22" i="5"/>
  <c r="H22" i="5"/>
  <c r="B22" i="5"/>
  <c r="K22" i="5"/>
  <c r="E22" i="5"/>
  <c r="A24" i="5" l="1"/>
  <c r="D23" i="5"/>
  <c r="F23" i="5"/>
  <c r="C23" i="5"/>
  <c r="B23" i="5"/>
  <c r="G23" i="5"/>
  <c r="H23" i="5"/>
  <c r="I23" i="5"/>
  <c r="E23" i="5"/>
  <c r="J23" i="5"/>
  <c r="K23" i="5"/>
  <c r="A25" i="5" l="1"/>
  <c r="K24" i="5"/>
  <c r="C24" i="5"/>
  <c r="E24" i="5"/>
  <c r="B24" i="5"/>
  <c r="J24" i="5"/>
  <c r="G24" i="5"/>
  <c r="F24" i="5"/>
  <c r="D24" i="5"/>
  <c r="H24" i="5"/>
  <c r="I24" i="5"/>
  <c r="A26" i="5" l="1"/>
  <c r="I25" i="5"/>
  <c r="J25" i="5"/>
  <c r="F25" i="5"/>
  <c r="C25" i="5"/>
  <c r="E25" i="5"/>
  <c r="K25" i="5"/>
  <c r="D25" i="5"/>
  <c r="G25" i="5"/>
  <c r="H25" i="5"/>
  <c r="B25" i="5"/>
  <c r="A27" i="5" l="1"/>
  <c r="B27" i="5"/>
  <c r="C26" i="5"/>
  <c r="D26" i="5"/>
  <c r="F26" i="5"/>
  <c r="B26" i="5"/>
  <c r="H26" i="5"/>
  <c r="K26" i="5"/>
  <c r="I26" i="5"/>
  <c r="J27" i="5"/>
  <c r="E26" i="5"/>
  <c r="J26" i="5"/>
  <c r="G26" i="5"/>
  <c r="F27" i="5"/>
  <c r="K27" i="5"/>
  <c r="C27" i="5"/>
  <c r="G27" i="5"/>
  <c r="D27" i="5"/>
  <c r="H27" i="5"/>
  <c r="I27" i="5"/>
  <c r="E27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Peter G. Schild</author>
  </authors>
  <commentList>
    <comment ref="B3" authorId="0" shapeId="0" xr:uid="{00000000-0006-0000-0000-000001000000}">
      <text>
        <r>
          <rPr>
            <sz val="9"/>
            <color indexed="81"/>
            <rFont val="Tahoma"/>
            <family val="2"/>
          </rPr>
          <t>=Patm (</t>
        </r>
        <r>
          <rPr>
            <b/>
            <sz val="9"/>
            <color indexed="81"/>
            <rFont val="Tahoma"/>
            <family val="2"/>
          </rPr>
          <t>h</t>
        </r>
        <r>
          <rPr>
            <sz val="9"/>
            <color indexed="81"/>
            <rFont val="Tahoma"/>
            <family val="2"/>
          </rPr>
          <t xml:space="preserve">)
 </t>
        </r>
        <r>
          <rPr>
            <b/>
            <sz val="9"/>
            <color indexed="81"/>
            <rFont val="Tahoma"/>
            <family val="2"/>
          </rPr>
          <t>h</t>
        </r>
        <r>
          <rPr>
            <sz val="9"/>
            <color indexed="81"/>
            <rFont val="Tahoma"/>
            <family val="2"/>
          </rPr>
          <t xml:space="preserve">  - height above sea level [m]
Estimated mean atmospheric pressure
at given height above sea level.
Ref:  ASHRAE Fundamentals &amp; NASA</t>
        </r>
      </text>
    </comment>
    <comment ref="B5" authorId="0" shapeId="0" xr:uid="{00000000-0006-0000-0000-000002000000}">
      <text>
        <r>
          <rPr>
            <sz val="9"/>
            <color indexed="81"/>
            <rFont val="Tahoma"/>
            <family val="2"/>
          </rPr>
          <t>=HumidityRatio1_air (</t>
        </r>
        <r>
          <rPr>
            <b/>
            <sz val="9"/>
            <color indexed="81"/>
            <rFont val="Tahoma"/>
            <family val="2"/>
          </rPr>
          <t>T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Tahoma"/>
            <family val="2"/>
          </rPr>
          <t>P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Tahoma"/>
            <family val="2"/>
          </rPr>
          <t>rh</t>
        </r>
        <r>
          <rPr>
            <sz val="9"/>
            <color indexed="81"/>
            <rFont val="Tahoma"/>
            <family val="2"/>
          </rPr>
          <t xml:space="preserve">)
 </t>
        </r>
        <r>
          <rPr>
            <b/>
            <sz val="9"/>
            <color indexed="81"/>
            <rFont val="Tahoma"/>
            <family val="2"/>
          </rPr>
          <t>T</t>
        </r>
        <r>
          <rPr>
            <sz val="9"/>
            <color indexed="81"/>
            <rFont val="Tahoma"/>
            <family val="2"/>
          </rPr>
          <t xml:space="preserve">  - absolute temperature [K]
 </t>
        </r>
        <r>
          <rPr>
            <b/>
            <sz val="9"/>
            <color indexed="81"/>
            <rFont val="Tahoma"/>
            <family val="2"/>
          </rPr>
          <t>P</t>
        </r>
        <r>
          <rPr>
            <sz val="9"/>
            <color indexed="81"/>
            <rFont val="Tahoma"/>
            <family val="2"/>
          </rPr>
          <t xml:space="preserve">  - absolute pressure [Pa]
 </t>
        </r>
        <r>
          <rPr>
            <b/>
            <sz val="9"/>
            <color indexed="81"/>
            <rFont val="Tahoma"/>
            <family val="2"/>
          </rPr>
          <t>rh</t>
        </r>
        <r>
          <rPr>
            <sz val="9"/>
            <color indexed="81"/>
            <rFont val="Tahoma"/>
            <family val="2"/>
          </rPr>
          <t xml:space="preserve"> - relative humidity [range 0-1]
Humidity ratio of air, also known as 
"moisture content" or "mixing ratio".
Valid for temperature range 0-200°C.
Ref:  ASHRAE Fundamentals</t>
        </r>
      </text>
    </comment>
    <comment ref="B6" authorId="0" shapeId="0" xr:uid="{00000000-0006-0000-0000-000003000000}">
      <text>
        <r>
          <rPr>
            <sz val="9"/>
            <color indexed="81"/>
            <rFont val="Tahoma"/>
            <family val="2"/>
          </rPr>
          <t>=Tdew2_air (</t>
        </r>
        <r>
          <rPr>
            <b/>
            <sz val="9"/>
            <color indexed="81"/>
            <rFont val="Tahoma"/>
            <family val="2"/>
          </rPr>
          <t>P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Tahoma"/>
            <family val="2"/>
          </rPr>
          <t>W</t>
        </r>
        <r>
          <rPr>
            <sz val="9"/>
            <color indexed="81"/>
            <rFont val="Tahoma"/>
            <family val="2"/>
          </rPr>
          <t xml:space="preserve">)
 </t>
        </r>
        <r>
          <rPr>
            <b/>
            <sz val="9"/>
            <color indexed="81"/>
            <rFont val="Tahoma"/>
            <family val="2"/>
          </rPr>
          <t>P</t>
        </r>
        <r>
          <rPr>
            <sz val="9"/>
            <color indexed="81"/>
            <rFont val="Tahoma"/>
            <family val="2"/>
          </rPr>
          <t xml:space="preserve">  - absolute pressure [Pa]
 </t>
        </r>
        <r>
          <rPr>
            <b/>
            <sz val="9"/>
            <color indexed="81"/>
            <rFont val="Tahoma"/>
            <family val="2"/>
          </rPr>
          <t>W</t>
        </r>
        <r>
          <rPr>
            <sz val="9"/>
            <color indexed="81"/>
            <rFont val="Tahoma"/>
            <family val="2"/>
          </rPr>
          <t xml:space="preserve"> - humidity ratio [kg/kg]
Dew point temperature.
Valid for temperatures &lt; 93°C
Ref:  ASHRAE Fundamentals</t>
        </r>
      </text>
    </comment>
    <comment ref="B7" authorId="0" shapeId="0" xr:uid="{00000000-0006-0000-0000-000004000000}">
      <text>
        <r>
          <rPr>
            <sz val="9"/>
            <color indexed="81"/>
            <rFont val="Tahoma"/>
            <family val="2"/>
          </rPr>
          <t>=Enth_air (</t>
        </r>
        <r>
          <rPr>
            <b/>
            <sz val="9"/>
            <color indexed="81"/>
            <rFont val="Tahoma"/>
            <family val="2"/>
          </rPr>
          <t>T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Tahoma"/>
            <family val="2"/>
          </rPr>
          <t>W</t>
        </r>
        <r>
          <rPr>
            <sz val="9"/>
            <color indexed="81"/>
            <rFont val="Tahoma"/>
            <family val="2"/>
          </rPr>
          <t xml:space="preserve">)
 </t>
        </r>
        <r>
          <rPr>
            <b/>
            <sz val="9"/>
            <color indexed="81"/>
            <rFont val="Tahoma"/>
            <family val="2"/>
          </rPr>
          <t>T</t>
        </r>
        <r>
          <rPr>
            <sz val="9"/>
            <color indexed="81"/>
            <rFont val="Tahoma"/>
            <family val="2"/>
          </rPr>
          <t xml:space="preserve">  - absolute temperature [K]
 </t>
        </r>
        <r>
          <rPr>
            <b/>
            <sz val="9"/>
            <color indexed="81"/>
            <rFont val="Tahoma"/>
            <family val="2"/>
          </rPr>
          <t>W</t>
        </r>
        <r>
          <rPr>
            <sz val="9"/>
            <color indexed="81"/>
            <rFont val="Tahoma"/>
            <family val="2"/>
          </rPr>
          <t xml:space="preserve"> - humidity ratio [kg/kg]
Enthalpy of moist air
Ref:  ASHRAE Fundamentals</t>
        </r>
      </text>
    </comment>
    <comment ref="B8" authorId="0" shapeId="0" xr:uid="{00000000-0006-0000-0000-000005000000}">
      <text>
        <r>
          <rPr>
            <sz val="9"/>
            <color indexed="81"/>
            <rFont val="Tahoma"/>
            <family val="2"/>
          </rPr>
          <t>=Dens1_air (</t>
        </r>
        <r>
          <rPr>
            <b/>
            <sz val="9"/>
            <color indexed="81"/>
            <rFont val="Tahoma"/>
            <family val="2"/>
          </rPr>
          <t>T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Tahoma"/>
            <family val="2"/>
          </rPr>
          <t>P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Tahoma"/>
            <family val="2"/>
          </rPr>
          <t>rh</t>
        </r>
        <r>
          <rPr>
            <sz val="9"/>
            <color indexed="81"/>
            <rFont val="Tahoma"/>
            <family val="2"/>
          </rPr>
          <t xml:space="preserve">)
 </t>
        </r>
        <r>
          <rPr>
            <b/>
            <sz val="9"/>
            <color indexed="81"/>
            <rFont val="Tahoma"/>
            <family val="2"/>
          </rPr>
          <t>T</t>
        </r>
        <r>
          <rPr>
            <sz val="9"/>
            <color indexed="81"/>
            <rFont val="Tahoma"/>
            <family val="2"/>
          </rPr>
          <t xml:space="preserve"> - absolute temperature [K]
 </t>
        </r>
        <r>
          <rPr>
            <b/>
            <sz val="9"/>
            <color indexed="81"/>
            <rFont val="Tahoma"/>
            <family val="2"/>
          </rPr>
          <t>P</t>
        </r>
        <r>
          <rPr>
            <sz val="9"/>
            <color indexed="81"/>
            <rFont val="Tahoma"/>
            <family val="2"/>
          </rPr>
          <t xml:space="preserve"> - absolute pressure [Pa]
 </t>
        </r>
        <r>
          <rPr>
            <b/>
            <sz val="9"/>
            <color indexed="81"/>
            <rFont val="Tahoma"/>
            <family val="2"/>
          </rPr>
          <t>rh</t>
        </r>
        <r>
          <rPr>
            <sz val="9"/>
            <color indexed="81"/>
            <rFont val="Tahoma"/>
            <family val="2"/>
          </rPr>
          <t xml:space="preserve"> - relative humidity [0.0-1.0]
Density of moist air
Ref:  ASHRAE Fundamentals</t>
        </r>
      </text>
    </comment>
    <comment ref="B13" authorId="0" shapeId="0" xr:uid="{00000000-0006-0000-0000-000006000000}">
      <text>
        <r>
          <rPr>
            <sz val="9"/>
            <color indexed="81"/>
            <rFont val="Tahoma"/>
            <family val="2"/>
          </rPr>
          <t>=Patm (</t>
        </r>
        <r>
          <rPr>
            <b/>
            <sz val="9"/>
            <color indexed="81"/>
            <rFont val="Tahoma"/>
            <family val="2"/>
          </rPr>
          <t>h</t>
        </r>
        <r>
          <rPr>
            <sz val="9"/>
            <color indexed="81"/>
            <rFont val="Tahoma"/>
            <family val="2"/>
          </rPr>
          <t xml:space="preserve">)
 </t>
        </r>
        <r>
          <rPr>
            <b/>
            <sz val="9"/>
            <color indexed="81"/>
            <rFont val="Tahoma"/>
            <family val="2"/>
          </rPr>
          <t>h</t>
        </r>
        <r>
          <rPr>
            <sz val="9"/>
            <color indexed="81"/>
            <rFont val="Tahoma"/>
            <family val="2"/>
          </rPr>
          <t xml:space="preserve">  - height above sea level [m]
Estimated mean atmospheric pressure
at given height above sea level.
Ref:  ASHRAE Fundamentals &amp; NASA</t>
        </r>
      </text>
    </comment>
    <comment ref="B15" authorId="0" shapeId="0" xr:uid="{00000000-0006-0000-0000-000007000000}">
      <text>
        <r>
          <rPr>
            <sz val="9"/>
            <color indexed="81"/>
            <rFont val="Tahoma"/>
            <family val="2"/>
          </rPr>
          <t>=HumidityRatio2_air (</t>
        </r>
        <r>
          <rPr>
            <b/>
            <sz val="9"/>
            <color indexed="81"/>
            <rFont val="Tahoma"/>
            <family val="2"/>
          </rPr>
          <t>T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Tahoma"/>
            <family val="2"/>
          </rPr>
          <t>P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Tahoma"/>
            <family val="2"/>
          </rPr>
          <t>Tw</t>
        </r>
        <r>
          <rPr>
            <sz val="9"/>
            <color indexed="81"/>
            <rFont val="Tahoma"/>
            <family val="2"/>
          </rPr>
          <t xml:space="preserve">)
 </t>
        </r>
        <r>
          <rPr>
            <b/>
            <sz val="9"/>
            <color indexed="81"/>
            <rFont val="Tahoma"/>
            <family val="2"/>
          </rPr>
          <t>T</t>
        </r>
        <r>
          <rPr>
            <sz val="9"/>
            <color indexed="81"/>
            <rFont val="Tahoma"/>
            <family val="2"/>
          </rPr>
          <t xml:space="preserve">    - absolute temperature [K]
 </t>
        </r>
        <r>
          <rPr>
            <b/>
            <sz val="9"/>
            <color indexed="81"/>
            <rFont val="Tahoma"/>
            <family val="2"/>
          </rPr>
          <t>P</t>
        </r>
        <r>
          <rPr>
            <sz val="9"/>
            <color indexed="81"/>
            <rFont val="Tahoma"/>
            <family val="2"/>
          </rPr>
          <t xml:space="preserve">    - absolute pressure [Pa]
 </t>
        </r>
        <r>
          <rPr>
            <b/>
            <sz val="9"/>
            <color indexed="81"/>
            <rFont val="Tahoma"/>
            <family val="2"/>
          </rPr>
          <t>Tw</t>
        </r>
        <r>
          <rPr>
            <sz val="9"/>
            <color indexed="81"/>
            <rFont val="Tahoma"/>
            <family val="2"/>
          </rPr>
          <t xml:space="preserve"> - wet bulb temperature [K]
Humidity ratio, also known as "moisture
 content" or "mixing ratio".
Valid for temperature range 0-200°C.
Ref:  ASHRAE Fundamentals</t>
        </r>
      </text>
    </comment>
    <comment ref="B16" authorId="0" shapeId="0" xr:uid="{00000000-0006-0000-0000-000008000000}">
      <text>
        <r>
          <rPr>
            <sz val="9"/>
            <color indexed="81"/>
            <rFont val="Tahoma"/>
            <family val="2"/>
          </rPr>
          <t>=RH_air (</t>
        </r>
        <r>
          <rPr>
            <b/>
            <sz val="9"/>
            <color indexed="81"/>
            <rFont val="Tahoma"/>
            <family val="2"/>
          </rPr>
          <t>T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Tahoma"/>
            <family val="2"/>
          </rPr>
          <t>P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Tahoma"/>
            <family val="2"/>
          </rPr>
          <t>W</t>
        </r>
        <r>
          <rPr>
            <sz val="9"/>
            <color indexed="81"/>
            <rFont val="Tahoma"/>
            <family val="2"/>
          </rPr>
          <t xml:space="preserve">)
 </t>
        </r>
        <r>
          <rPr>
            <b/>
            <sz val="9"/>
            <color indexed="81"/>
            <rFont val="Tahoma"/>
            <family val="2"/>
          </rPr>
          <t>T</t>
        </r>
        <r>
          <rPr>
            <sz val="9"/>
            <color indexed="81"/>
            <rFont val="Tahoma"/>
            <family val="2"/>
          </rPr>
          <t xml:space="preserve">  - absolute temperature [K]
 </t>
        </r>
        <r>
          <rPr>
            <b/>
            <sz val="9"/>
            <color indexed="81"/>
            <rFont val="Tahoma"/>
            <family val="2"/>
          </rPr>
          <t>P</t>
        </r>
        <r>
          <rPr>
            <sz val="9"/>
            <color indexed="81"/>
            <rFont val="Tahoma"/>
            <family val="2"/>
          </rPr>
          <t xml:space="preserve">  - absolute pressure [Pa]
 </t>
        </r>
        <r>
          <rPr>
            <b/>
            <sz val="9"/>
            <color indexed="81"/>
            <rFont val="Tahoma"/>
            <family val="2"/>
          </rPr>
          <t>W</t>
        </r>
        <r>
          <rPr>
            <sz val="9"/>
            <color indexed="81"/>
            <rFont val="Tahoma"/>
            <family val="2"/>
          </rPr>
          <t xml:space="preserve"> - humidity ratio [kg/kg]
Relative humidity [range 0-1]
Ref:  ASHRAE Fundamentals</t>
        </r>
      </text>
    </comment>
    <comment ref="B17" authorId="0" shapeId="0" xr:uid="{00000000-0006-0000-0000-000009000000}">
      <text>
        <r>
          <rPr>
            <sz val="9"/>
            <color indexed="81"/>
            <rFont val="Tahoma"/>
            <family val="2"/>
          </rPr>
          <t>=Tdew2_air (</t>
        </r>
        <r>
          <rPr>
            <b/>
            <sz val="9"/>
            <color indexed="81"/>
            <rFont val="Tahoma"/>
            <family val="2"/>
          </rPr>
          <t>P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Tahoma"/>
            <family val="2"/>
          </rPr>
          <t>W</t>
        </r>
        <r>
          <rPr>
            <sz val="9"/>
            <color indexed="81"/>
            <rFont val="Tahoma"/>
            <family val="2"/>
          </rPr>
          <t xml:space="preserve">)
 </t>
        </r>
        <r>
          <rPr>
            <b/>
            <sz val="9"/>
            <color indexed="81"/>
            <rFont val="Tahoma"/>
            <family val="2"/>
          </rPr>
          <t>P</t>
        </r>
        <r>
          <rPr>
            <sz val="9"/>
            <color indexed="81"/>
            <rFont val="Tahoma"/>
            <family val="2"/>
          </rPr>
          <t xml:space="preserve">  - absolute pressure [Pa]
 </t>
        </r>
        <r>
          <rPr>
            <b/>
            <sz val="9"/>
            <color indexed="81"/>
            <rFont val="Tahoma"/>
            <family val="2"/>
          </rPr>
          <t>W</t>
        </r>
        <r>
          <rPr>
            <sz val="9"/>
            <color indexed="81"/>
            <rFont val="Tahoma"/>
            <family val="2"/>
          </rPr>
          <t xml:space="preserve"> - humidity ratio [kg/kg]
Dew point temperature.
Valid for temperatures &lt; 93°C
Ref:  ASHRAE Fundamentals</t>
        </r>
      </text>
    </comment>
    <comment ref="B18" authorId="0" shapeId="0" xr:uid="{00000000-0006-0000-0000-00000A000000}">
      <text>
        <r>
          <rPr>
            <sz val="9"/>
            <color indexed="81"/>
            <rFont val="Tahoma"/>
            <family val="2"/>
          </rPr>
          <t>=Enth_air (</t>
        </r>
        <r>
          <rPr>
            <b/>
            <sz val="9"/>
            <color indexed="81"/>
            <rFont val="Tahoma"/>
            <family val="2"/>
          </rPr>
          <t>T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Tahoma"/>
            <family val="2"/>
          </rPr>
          <t>W</t>
        </r>
        <r>
          <rPr>
            <sz val="9"/>
            <color indexed="81"/>
            <rFont val="Tahoma"/>
            <family val="2"/>
          </rPr>
          <t xml:space="preserve">)
 </t>
        </r>
        <r>
          <rPr>
            <b/>
            <sz val="9"/>
            <color indexed="81"/>
            <rFont val="Tahoma"/>
            <family val="2"/>
          </rPr>
          <t>T</t>
        </r>
        <r>
          <rPr>
            <sz val="9"/>
            <color indexed="81"/>
            <rFont val="Tahoma"/>
            <family val="2"/>
          </rPr>
          <t xml:space="preserve">  - absolute temperature [K]
 </t>
        </r>
        <r>
          <rPr>
            <b/>
            <sz val="9"/>
            <color indexed="81"/>
            <rFont val="Tahoma"/>
            <family val="2"/>
          </rPr>
          <t>W</t>
        </r>
        <r>
          <rPr>
            <sz val="9"/>
            <color indexed="81"/>
            <rFont val="Tahoma"/>
            <family val="2"/>
          </rPr>
          <t xml:space="preserve"> - humidity ratio [kg/kg]
Enthalpy of moist air
Ref:  ASHRAE Fundamentals</t>
        </r>
      </text>
    </comment>
    <comment ref="B19" authorId="0" shapeId="0" xr:uid="{00000000-0006-0000-0000-00000B000000}">
      <text>
        <r>
          <rPr>
            <sz val="9"/>
            <color indexed="81"/>
            <rFont val="Tahoma"/>
            <family val="2"/>
          </rPr>
          <t>=Dens_air (</t>
        </r>
        <r>
          <rPr>
            <b/>
            <sz val="9"/>
            <color indexed="81"/>
            <rFont val="Tahoma"/>
            <family val="2"/>
          </rPr>
          <t>T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Tahoma"/>
            <family val="2"/>
          </rPr>
          <t>P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Tahoma"/>
            <family val="2"/>
          </rPr>
          <t>W</t>
        </r>
        <r>
          <rPr>
            <sz val="9"/>
            <color indexed="81"/>
            <rFont val="Tahoma"/>
            <family val="2"/>
          </rPr>
          <t xml:space="preserve">)
 </t>
        </r>
        <r>
          <rPr>
            <b/>
            <sz val="9"/>
            <color indexed="81"/>
            <rFont val="Tahoma"/>
            <family val="2"/>
          </rPr>
          <t>T</t>
        </r>
        <r>
          <rPr>
            <sz val="9"/>
            <color indexed="81"/>
            <rFont val="Tahoma"/>
            <family val="2"/>
          </rPr>
          <t xml:space="preserve"> - absolute temperature [K]
 </t>
        </r>
        <r>
          <rPr>
            <b/>
            <sz val="9"/>
            <color indexed="81"/>
            <rFont val="Tahoma"/>
            <family val="2"/>
          </rPr>
          <t>P</t>
        </r>
        <r>
          <rPr>
            <sz val="9"/>
            <color indexed="81"/>
            <rFont val="Tahoma"/>
            <family val="2"/>
          </rPr>
          <t xml:space="preserve"> - absolute pressure [Pa]
 </t>
        </r>
        <r>
          <rPr>
            <b/>
            <sz val="9"/>
            <color indexed="81"/>
            <rFont val="Tahoma"/>
            <family val="2"/>
          </rPr>
          <t>W</t>
        </r>
        <r>
          <rPr>
            <sz val="9"/>
            <color indexed="81"/>
            <rFont val="Tahoma"/>
            <family val="2"/>
          </rPr>
          <t xml:space="preserve"> - humidity ratio [kg/kg]
Density of moist air
Ref:  ASHRAE Fundamentals</t>
        </r>
      </text>
    </comment>
    <comment ref="B22" authorId="0" shapeId="0" xr:uid="{00000000-0006-0000-0000-00000C000000}">
      <text>
        <r>
          <rPr>
            <sz val="9"/>
            <color indexed="81"/>
            <rFont val="Tahoma"/>
            <family val="2"/>
          </rPr>
          <t>=Patm (</t>
        </r>
        <r>
          <rPr>
            <b/>
            <sz val="9"/>
            <color indexed="81"/>
            <rFont val="Tahoma"/>
            <family val="2"/>
          </rPr>
          <t>h</t>
        </r>
        <r>
          <rPr>
            <sz val="9"/>
            <color indexed="81"/>
            <rFont val="Tahoma"/>
            <family val="2"/>
          </rPr>
          <t xml:space="preserve">)
 </t>
        </r>
        <r>
          <rPr>
            <b/>
            <sz val="9"/>
            <color indexed="81"/>
            <rFont val="Tahoma"/>
            <family val="2"/>
          </rPr>
          <t>h</t>
        </r>
        <r>
          <rPr>
            <sz val="9"/>
            <color indexed="81"/>
            <rFont val="Tahoma"/>
            <family val="2"/>
          </rPr>
          <t xml:space="preserve">  - height above sea level [m]
Estimated mean atmospheric pressure
at given height above sea level.
Ref:  ASHRAE Fundamentals &amp; NASA</t>
        </r>
      </text>
    </comment>
    <comment ref="B24" authorId="0" shapeId="0" xr:uid="{00000000-0006-0000-0000-00000D000000}">
      <text>
        <r>
          <rPr>
            <sz val="9"/>
            <color indexed="81"/>
            <rFont val="Tahoma"/>
            <family val="2"/>
          </rPr>
          <t>=RH_air (</t>
        </r>
        <r>
          <rPr>
            <b/>
            <sz val="9"/>
            <color indexed="81"/>
            <rFont val="Tahoma"/>
            <family val="2"/>
          </rPr>
          <t>T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Tahoma"/>
            <family val="2"/>
          </rPr>
          <t>P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Tahoma"/>
            <family val="2"/>
          </rPr>
          <t>W</t>
        </r>
        <r>
          <rPr>
            <sz val="9"/>
            <color indexed="81"/>
            <rFont val="Tahoma"/>
            <family val="2"/>
          </rPr>
          <t xml:space="preserve">)
 </t>
        </r>
        <r>
          <rPr>
            <b/>
            <sz val="9"/>
            <color indexed="81"/>
            <rFont val="Tahoma"/>
            <family val="2"/>
          </rPr>
          <t>T</t>
        </r>
        <r>
          <rPr>
            <sz val="9"/>
            <color indexed="81"/>
            <rFont val="Tahoma"/>
            <family val="2"/>
          </rPr>
          <t xml:space="preserve">  - absolute temperature [K]
 </t>
        </r>
        <r>
          <rPr>
            <b/>
            <sz val="9"/>
            <color indexed="81"/>
            <rFont val="Tahoma"/>
            <family val="2"/>
          </rPr>
          <t>P</t>
        </r>
        <r>
          <rPr>
            <sz val="9"/>
            <color indexed="81"/>
            <rFont val="Tahoma"/>
            <family val="2"/>
          </rPr>
          <t xml:space="preserve">  - absolute pressure [Pa]
 </t>
        </r>
        <r>
          <rPr>
            <b/>
            <sz val="9"/>
            <color indexed="81"/>
            <rFont val="Tahoma"/>
            <family val="2"/>
          </rPr>
          <t>W</t>
        </r>
        <r>
          <rPr>
            <sz val="9"/>
            <color indexed="81"/>
            <rFont val="Tahoma"/>
            <family val="2"/>
          </rPr>
          <t xml:space="preserve"> - humidity ratio [kg/kg]
Relative humidity [range 0-1]
Ref:  ASHRAE Fundamentals</t>
        </r>
      </text>
    </comment>
    <comment ref="B25" authorId="0" shapeId="0" xr:uid="{00000000-0006-0000-0000-00000E000000}">
      <text>
        <r>
          <rPr>
            <sz val="9"/>
            <color indexed="81"/>
            <rFont val="Tahoma"/>
            <family val="2"/>
          </rPr>
          <t>=Tdew2_air (</t>
        </r>
        <r>
          <rPr>
            <b/>
            <sz val="9"/>
            <color indexed="81"/>
            <rFont val="Tahoma"/>
            <family val="2"/>
          </rPr>
          <t>P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Tahoma"/>
            <family val="2"/>
          </rPr>
          <t>W</t>
        </r>
        <r>
          <rPr>
            <sz val="9"/>
            <color indexed="81"/>
            <rFont val="Tahoma"/>
            <family val="2"/>
          </rPr>
          <t xml:space="preserve">)
 </t>
        </r>
        <r>
          <rPr>
            <b/>
            <sz val="9"/>
            <color indexed="81"/>
            <rFont val="Tahoma"/>
            <family val="2"/>
          </rPr>
          <t>P</t>
        </r>
        <r>
          <rPr>
            <sz val="9"/>
            <color indexed="81"/>
            <rFont val="Tahoma"/>
            <family val="2"/>
          </rPr>
          <t xml:space="preserve">  - absolute pressure [Pa]
 </t>
        </r>
        <r>
          <rPr>
            <b/>
            <sz val="9"/>
            <color indexed="81"/>
            <rFont val="Tahoma"/>
            <family val="2"/>
          </rPr>
          <t>W</t>
        </r>
        <r>
          <rPr>
            <sz val="9"/>
            <color indexed="81"/>
            <rFont val="Tahoma"/>
            <family val="2"/>
          </rPr>
          <t xml:space="preserve"> - humidity ratio [kg/kg]
Dew point temperature.
Valid for temperatures &lt; 93°C
Ref:  ASHRAE Fundamentals</t>
        </r>
      </text>
    </comment>
    <comment ref="B26" authorId="0" shapeId="0" xr:uid="{00000000-0006-0000-0000-00000F000000}">
      <text>
        <r>
          <rPr>
            <sz val="9"/>
            <color indexed="81"/>
            <rFont val="Tahoma"/>
            <family val="2"/>
          </rPr>
          <t>=Enth_air (</t>
        </r>
        <r>
          <rPr>
            <b/>
            <sz val="9"/>
            <color indexed="81"/>
            <rFont val="Tahoma"/>
            <family val="2"/>
          </rPr>
          <t>T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Tahoma"/>
            <family val="2"/>
          </rPr>
          <t>W</t>
        </r>
        <r>
          <rPr>
            <sz val="9"/>
            <color indexed="81"/>
            <rFont val="Tahoma"/>
            <family val="2"/>
          </rPr>
          <t xml:space="preserve">)
 </t>
        </r>
        <r>
          <rPr>
            <b/>
            <sz val="9"/>
            <color indexed="81"/>
            <rFont val="Tahoma"/>
            <family val="2"/>
          </rPr>
          <t>T</t>
        </r>
        <r>
          <rPr>
            <sz val="9"/>
            <color indexed="81"/>
            <rFont val="Tahoma"/>
            <family val="2"/>
          </rPr>
          <t xml:space="preserve">  - absolute temperature [K]
 </t>
        </r>
        <r>
          <rPr>
            <b/>
            <sz val="9"/>
            <color indexed="81"/>
            <rFont val="Tahoma"/>
            <family val="2"/>
          </rPr>
          <t>W</t>
        </r>
        <r>
          <rPr>
            <sz val="9"/>
            <color indexed="81"/>
            <rFont val="Tahoma"/>
            <family val="2"/>
          </rPr>
          <t xml:space="preserve"> - humidity ratio [kg/kg]
Enthalpy of moist air
Ref:  ASHRAE Fundamentals</t>
        </r>
      </text>
    </comment>
    <comment ref="B27" authorId="0" shapeId="0" xr:uid="{00000000-0006-0000-0000-000010000000}">
      <text>
        <r>
          <rPr>
            <sz val="9"/>
            <color indexed="81"/>
            <rFont val="Tahoma"/>
            <family val="2"/>
          </rPr>
          <t>=Dens_air (</t>
        </r>
        <r>
          <rPr>
            <b/>
            <sz val="9"/>
            <color indexed="81"/>
            <rFont val="Tahoma"/>
            <family val="2"/>
          </rPr>
          <t>T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Tahoma"/>
            <family val="2"/>
          </rPr>
          <t>P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Tahoma"/>
            <family val="2"/>
          </rPr>
          <t>W</t>
        </r>
        <r>
          <rPr>
            <sz val="9"/>
            <color indexed="81"/>
            <rFont val="Tahoma"/>
            <family val="2"/>
          </rPr>
          <t xml:space="preserve">)
 </t>
        </r>
        <r>
          <rPr>
            <b/>
            <sz val="9"/>
            <color indexed="81"/>
            <rFont val="Tahoma"/>
            <family val="2"/>
          </rPr>
          <t>T</t>
        </r>
        <r>
          <rPr>
            <sz val="9"/>
            <color indexed="81"/>
            <rFont val="Tahoma"/>
            <family val="2"/>
          </rPr>
          <t xml:space="preserve"> - absolute temperature [K]
 </t>
        </r>
        <r>
          <rPr>
            <b/>
            <sz val="9"/>
            <color indexed="81"/>
            <rFont val="Tahoma"/>
            <family val="2"/>
          </rPr>
          <t>P</t>
        </r>
        <r>
          <rPr>
            <sz val="9"/>
            <color indexed="81"/>
            <rFont val="Tahoma"/>
            <family val="2"/>
          </rPr>
          <t xml:space="preserve"> - absolute pressure [Pa]
 </t>
        </r>
        <r>
          <rPr>
            <b/>
            <sz val="9"/>
            <color indexed="81"/>
            <rFont val="Tahoma"/>
            <family val="2"/>
          </rPr>
          <t>W</t>
        </r>
        <r>
          <rPr>
            <sz val="9"/>
            <color indexed="81"/>
            <rFont val="Tahoma"/>
            <family val="2"/>
          </rPr>
          <t xml:space="preserve"> - humidity ratio [kg/kg]
Density of moist air
Ref:  ASHRAE Fundamentals</t>
        </r>
      </text>
    </comment>
    <comment ref="B31" authorId="0" shapeId="0" xr:uid="{00000000-0006-0000-0000-000011000000}">
      <text>
        <r>
          <rPr>
            <sz val="9"/>
            <color indexed="81"/>
            <rFont val="Tahoma"/>
            <family val="2"/>
          </rPr>
          <t>=Patm (</t>
        </r>
        <r>
          <rPr>
            <b/>
            <sz val="9"/>
            <color indexed="81"/>
            <rFont val="Tahoma"/>
            <family val="2"/>
          </rPr>
          <t>h</t>
        </r>
        <r>
          <rPr>
            <sz val="9"/>
            <color indexed="81"/>
            <rFont val="Tahoma"/>
            <family val="2"/>
          </rPr>
          <t xml:space="preserve">)
 </t>
        </r>
        <r>
          <rPr>
            <b/>
            <sz val="9"/>
            <color indexed="81"/>
            <rFont val="Tahoma"/>
            <family val="2"/>
          </rPr>
          <t>h</t>
        </r>
        <r>
          <rPr>
            <sz val="9"/>
            <color indexed="81"/>
            <rFont val="Tahoma"/>
            <family val="2"/>
          </rPr>
          <t xml:space="preserve">  - height above sea level [m]
Estimated mean atmospheric pressure
at given height above sea level.
Ref:  ASHRAE Fundamentals &amp; NASA</t>
        </r>
      </text>
    </comment>
    <comment ref="B33" authorId="0" shapeId="0" xr:uid="{00000000-0006-0000-0000-000012000000}">
      <text>
        <r>
          <rPr>
            <sz val="9"/>
            <color indexed="81"/>
            <rFont val="Tahoma"/>
            <family val="2"/>
          </rPr>
          <t>=HumidityRatio3_air (</t>
        </r>
        <r>
          <rPr>
            <b/>
            <sz val="9"/>
            <color indexed="81"/>
            <rFont val="Tahoma"/>
            <family val="2"/>
          </rPr>
          <t>Td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Tahoma"/>
            <family val="2"/>
          </rPr>
          <t>P</t>
        </r>
        <r>
          <rPr>
            <sz val="9"/>
            <color indexed="81"/>
            <rFont val="Tahoma"/>
            <family val="2"/>
          </rPr>
          <t xml:space="preserve">)
 </t>
        </r>
        <r>
          <rPr>
            <b/>
            <sz val="9"/>
            <color indexed="81"/>
            <rFont val="Tahoma"/>
            <family val="2"/>
          </rPr>
          <t>Td</t>
        </r>
        <r>
          <rPr>
            <sz val="9"/>
            <color indexed="81"/>
            <rFont val="Tahoma"/>
            <family val="2"/>
          </rPr>
          <t xml:space="preserve"> - dew point temperature [K]
 </t>
        </r>
        <r>
          <rPr>
            <b/>
            <sz val="9"/>
            <color indexed="81"/>
            <rFont val="Tahoma"/>
            <family val="2"/>
          </rPr>
          <t>P</t>
        </r>
        <r>
          <rPr>
            <sz val="9"/>
            <color indexed="81"/>
            <rFont val="Tahoma"/>
            <family val="2"/>
          </rPr>
          <t xml:space="preserve">   - absolute pressure [Pa]
Humidity ratio, also known as "moisture
 content" or "mixing ratio".
Valid for temperature range 0-200°C.
Ref:  ASHRAE Fundamentals</t>
        </r>
      </text>
    </comment>
    <comment ref="B34" authorId="0" shapeId="0" xr:uid="{00000000-0006-0000-0000-000013000000}">
      <text>
        <r>
          <rPr>
            <sz val="9"/>
            <color indexed="81"/>
            <rFont val="Tahoma"/>
            <family val="2"/>
          </rPr>
          <t>=RH_air (</t>
        </r>
        <r>
          <rPr>
            <b/>
            <sz val="9"/>
            <color indexed="81"/>
            <rFont val="Tahoma"/>
            <family val="2"/>
          </rPr>
          <t>T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Tahoma"/>
            <family val="2"/>
          </rPr>
          <t>P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Tahoma"/>
            <family val="2"/>
          </rPr>
          <t>W</t>
        </r>
        <r>
          <rPr>
            <sz val="9"/>
            <color indexed="81"/>
            <rFont val="Tahoma"/>
            <family val="2"/>
          </rPr>
          <t xml:space="preserve">)
 </t>
        </r>
        <r>
          <rPr>
            <b/>
            <sz val="9"/>
            <color indexed="81"/>
            <rFont val="Tahoma"/>
            <family val="2"/>
          </rPr>
          <t>T</t>
        </r>
        <r>
          <rPr>
            <sz val="9"/>
            <color indexed="81"/>
            <rFont val="Tahoma"/>
            <family val="2"/>
          </rPr>
          <t xml:space="preserve">  - absolute temperature [K]
 </t>
        </r>
        <r>
          <rPr>
            <b/>
            <sz val="9"/>
            <color indexed="81"/>
            <rFont val="Tahoma"/>
            <family val="2"/>
          </rPr>
          <t>P</t>
        </r>
        <r>
          <rPr>
            <sz val="9"/>
            <color indexed="81"/>
            <rFont val="Tahoma"/>
            <family val="2"/>
          </rPr>
          <t xml:space="preserve">  - absolute pressure [Pa]
 </t>
        </r>
        <r>
          <rPr>
            <b/>
            <sz val="9"/>
            <color indexed="81"/>
            <rFont val="Tahoma"/>
            <family val="2"/>
          </rPr>
          <t>W</t>
        </r>
        <r>
          <rPr>
            <sz val="9"/>
            <color indexed="81"/>
            <rFont val="Tahoma"/>
            <family val="2"/>
          </rPr>
          <t xml:space="preserve"> - humidity ratio [kg/kg]
Relative humidity [range 0-1]
Ref:  ASHRAE Fundamentals</t>
        </r>
      </text>
    </comment>
    <comment ref="B35" authorId="0" shapeId="0" xr:uid="{00000000-0006-0000-0000-000014000000}">
      <text>
        <r>
          <rPr>
            <sz val="9"/>
            <color indexed="81"/>
            <rFont val="Tahoma"/>
            <family val="2"/>
          </rPr>
          <t>=Enth_air (</t>
        </r>
        <r>
          <rPr>
            <b/>
            <sz val="9"/>
            <color indexed="81"/>
            <rFont val="Tahoma"/>
            <family val="2"/>
          </rPr>
          <t>T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Tahoma"/>
            <family val="2"/>
          </rPr>
          <t>W</t>
        </r>
        <r>
          <rPr>
            <sz val="9"/>
            <color indexed="81"/>
            <rFont val="Tahoma"/>
            <family val="2"/>
          </rPr>
          <t xml:space="preserve">)
 </t>
        </r>
        <r>
          <rPr>
            <b/>
            <sz val="9"/>
            <color indexed="81"/>
            <rFont val="Tahoma"/>
            <family val="2"/>
          </rPr>
          <t>T</t>
        </r>
        <r>
          <rPr>
            <sz val="9"/>
            <color indexed="81"/>
            <rFont val="Tahoma"/>
            <family val="2"/>
          </rPr>
          <t xml:space="preserve">  - absolute temperature [K]
 </t>
        </r>
        <r>
          <rPr>
            <b/>
            <sz val="9"/>
            <color indexed="81"/>
            <rFont val="Tahoma"/>
            <family val="2"/>
          </rPr>
          <t>W</t>
        </r>
        <r>
          <rPr>
            <sz val="9"/>
            <color indexed="81"/>
            <rFont val="Tahoma"/>
            <family val="2"/>
          </rPr>
          <t xml:space="preserve"> - humidity ratio [kg/kg]
Enthalpy of moist air
Ref:  ASHRAE Fundamentals</t>
        </r>
      </text>
    </comment>
    <comment ref="B36" authorId="0" shapeId="0" xr:uid="{00000000-0006-0000-0000-000015000000}">
      <text>
        <r>
          <rPr>
            <sz val="9"/>
            <color indexed="81"/>
            <rFont val="Tahoma"/>
            <family val="2"/>
          </rPr>
          <t>=Dens_air (</t>
        </r>
        <r>
          <rPr>
            <b/>
            <sz val="9"/>
            <color indexed="81"/>
            <rFont val="Tahoma"/>
            <family val="2"/>
          </rPr>
          <t>T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Tahoma"/>
            <family val="2"/>
          </rPr>
          <t>P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Tahoma"/>
            <family val="2"/>
          </rPr>
          <t>W</t>
        </r>
        <r>
          <rPr>
            <sz val="9"/>
            <color indexed="81"/>
            <rFont val="Tahoma"/>
            <family val="2"/>
          </rPr>
          <t xml:space="preserve">)
 </t>
        </r>
        <r>
          <rPr>
            <b/>
            <sz val="9"/>
            <color indexed="81"/>
            <rFont val="Tahoma"/>
            <family val="2"/>
          </rPr>
          <t>T</t>
        </r>
        <r>
          <rPr>
            <sz val="9"/>
            <color indexed="81"/>
            <rFont val="Tahoma"/>
            <family val="2"/>
          </rPr>
          <t xml:space="preserve"> - absolute temperature [K]
 </t>
        </r>
        <r>
          <rPr>
            <b/>
            <sz val="9"/>
            <color indexed="81"/>
            <rFont val="Tahoma"/>
            <family val="2"/>
          </rPr>
          <t>P</t>
        </r>
        <r>
          <rPr>
            <sz val="9"/>
            <color indexed="81"/>
            <rFont val="Tahoma"/>
            <family val="2"/>
          </rPr>
          <t xml:space="preserve"> - absolute pressure [Pa]
 </t>
        </r>
        <r>
          <rPr>
            <b/>
            <sz val="9"/>
            <color indexed="81"/>
            <rFont val="Tahoma"/>
            <family val="2"/>
          </rPr>
          <t>W</t>
        </r>
        <r>
          <rPr>
            <sz val="9"/>
            <color indexed="81"/>
            <rFont val="Tahoma"/>
            <family val="2"/>
          </rPr>
          <t xml:space="preserve"> - humidity ratio [kg/kg]
Density of moist air
Ref:  ASHRAE Fundamentals</t>
        </r>
      </text>
    </comment>
    <comment ref="B40" authorId="0" shapeId="0" xr:uid="{00000000-0006-0000-0000-000016000000}">
      <text>
        <r>
          <rPr>
            <sz val="9"/>
            <color indexed="81"/>
            <rFont val="Tahoma"/>
            <family val="2"/>
          </rPr>
          <t>=Patm (</t>
        </r>
        <r>
          <rPr>
            <b/>
            <sz val="9"/>
            <color indexed="81"/>
            <rFont val="Tahoma"/>
            <family val="2"/>
          </rPr>
          <t>h</t>
        </r>
        <r>
          <rPr>
            <sz val="9"/>
            <color indexed="81"/>
            <rFont val="Tahoma"/>
            <family val="2"/>
          </rPr>
          <t xml:space="preserve">)
 </t>
        </r>
        <r>
          <rPr>
            <b/>
            <sz val="9"/>
            <color indexed="81"/>
            <rFont val="Tahoma"/>
            <family val="2"/>
          </rPr>
          <t>h</t>
        </r>
        <r>
          <rPr>
            <sz val="9"/>
            <color indexed="81"/>
            <rFont val="Tahoma"/>
            <family val="2"/>
          </rPr>
          <t xml:space="preserve">  - height above sea level [m]
Estimated mean atmospheric pressure
at given height above sea level.
Ref:  ASHRAE Fundamentals &amp; NASA</t>
        </r>
      </text>
    </comment>
    <comment ref="B43" authorId="0" shapeId="0" xr:uid="{00000000-0006-0000-0000-000017000000}">
      <text>
        <r>
          <rPr>
            <sz val="9"/>
            <color indexed="81"/>
            <rFont val="Tahoma"/>
            <family val="2"/>
          </rPr>
          <t>Dens = (Molar mass) / (Volume occupied by 1 mole)
Volume occupied by 1 mole depends on temperature and pressure, and is taken from ideal gas law:
    pv = nRT
-&gt; v = RT / p    (n=1 for 1 mole)
Universal gas constant R = 8.31441 J/mol.K</t>
        </r>
      </text>
    </comment>
  </commentList>
</comments>
</file>

<file path=xl/sharedStrings.xml><?xml version="1.0" encoding="utf-8"?>
<sst xmlns="http://schemas.openxmlformats.org/spreadsheetml/2006/main" count="81" uniqueCount="39">
  <si>
    <t>Pa</t>
  </si>
  <si>
    <t>°C</t>
  </si>
  <si>
    <t>kg/m³</t>
  </si>
  <si>
    <t>J/kg</t>
  </si>
  <si>
    <t>kg/kg</t>
  </si>
  <si>
    <t>1.Temperature</t>
  </si>
  <si>
    <t>3.Relative humidity</t>
  </si>
  <si>
    <t>3.Wet bulb temp</t>
  </si>
  <si>
    <t>4.Relative humidity</t>
  </si>
  <si>
    <t>5.Relative humidity</t>
  </si>
  <si>
    <t>6.Enthalpy</t>
  </si>
  <si>
    <t>7.Density</t>
  </si>
  <si>
    <t>4.Humidity ratio</t>
  </si>
  <si>
    <t>3.Humidity ratio</t>
  </si>
  <si>
    <t>3.Dew point temp.</t>
  </si>
  <si>
    <t>5.Dew point temp.</t>
  </si>
  <si>
    <t>6.Dew point temp.</t>
  </si>
  <si>
    <t>7.Enthalpy</t>
  </si>
  <si>
    <t>8.Density</t>
  </si>
  <si>
    <t>2.Pressure</t>
  </si>
  <si>
    <r>
      <t>ç</t>
    </r>
    <r>
      <rPr>
        <sz val="10"/>
        <color indexed="18"/>
        <rFont val="Arial"/>
        <family val="2"/>
      </rPr>
      <t xml:space="preserve"> Blå er input</t>
    </r>
  </si>
  <si>
    <r>
      <t>ç</t>
    </r>
    <r>
      <rPr>
        <sz val="10"/>
        <color indexed="16"/>
        <rFont val="Arial"/>
        <family val="2"/>
      </rPr>
      <t xml:space="preserve"> Rød er output</t>
    </r>
  </si>
  <si>
    <t>Psychrometrics equations   (macro functions)</t>
  </si>
  <si>
    <t>g/mol</t>
  </si>
  <si>
    <t>4.Density</t>
  </si>
  <si>
    <t>3.Molar mass of gas</t>
  </si>
  <si>
    <t>Density based on ideal gas law (dry air)</t>
  </si>
  <si>
    <t>8.Cp</t>
  </si>
  <si>
    <t>J/kgK</t>
  </si>
  <si>
    <t>Temperature</t>
  </si>
  <si>
    <t>Relative humidity</t>
  </si>
  <si>
    <t>Point 1</t>
  </si>
  <si>
    <t>Point 2</t>
  </si>
  <si>
    <t>Point 3</t>
  </si>
  <si>
    <t>Point 4</t>
  </si>
  <si>
    <t>3.Type of gas</t>
  </si>
  <si>
    <t>CO2 (Carbon dioxide): 44.0098</t>
  </si>
  <si>
    <t>9. Wet bulb (approx)</t>
  </si>
  <si>
    <t>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</si>
</sst>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\ %"/>
    <numFmt numFmtId="165" formatCode="0.000\ %"/>
    <numFmt numFmtId="166" formatCode="0.0000"/>
    <numFmt numFmtId="167" formatCode="0.0000E+00"/>
    <numFmt numFmtId="168" formatCode="0.0000000000"/>
  </numFmts>
  <fonts count="18" x14ac:knownFonts="1">
    <font>
      <sz val="10"/>
      <name val="Arial"/>
      <family val="2"/>
    </font>
    <font>
      <sz val="10"/>
      <name val="Arial"/>
      <family val="2"/>
    </font>
    <font>
      <b/>
      <sz val="12"/>
      <color indexed="9"/>
      <name val="Arial"/>
      <family val="2"/>
    </font>
    <font>
      <sz val="9"/>
      <color indexed="81"/>
      <name val="Tahoma"/>
      <family val="2"/>
    </font>
    <font>
      <b/>
      <sz val="10"/>
      <color indexed="18"/>
      <name val="Arial"/>
      <family val="2"/>
    </font>
    <font>
      <sz val="10"/>
      <color indexed="16"/>
      <name val="Arial"/>
      <family val="2"/>
    </font>
    <font>
      <sz val="10"/>
      <color indexed="18"/>
      <name val="Arial"/>
      <family val="2"/>
    </font>
    <font>
      <sz val="10"/>
      <color indexed="18"/>
      <name val="Wingdings"/>
      <charset val="2"/>
    </font>
    <font>
      <sz val="10"/>
      <color indexed="16"/>
      <name val="Wingdings"/>
      <charset val="2"/>
    </font>
    <font>
      <b/>
      <sz val="9"/>
      <color indexed="81"/>
      <name val="Tahoma"/>
      <family val="2"/>
    </font>
    <font>
      <sz val="10"/>
      <name val="Arial"/>
      <family val="2"/>
    </font>
    <font>
      <sz val="8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10"/>
      <color indexed="9"/>
      <name val="Arial"/>
      <family val="2"/>
    </font>
    <font>
      <sz val="10"/>
      <color indexed="12"/>
      <name val="Arial"/>
      <family val="2"/>
    </font>
    <font>
      <b/>
      <sz val="10"/>
      <color indexed="11"/>
      <name val="Arial"/>
      <family val="2"/>
    </font>
    <font>
      <sz val="10"/>
      <color theme="0" tint="-0.249977111117893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4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indexed="64"/>
      </bottom>
      <diagonal/>
    </border>
  </borders>
  <cellStyleXfs count="3">
    <xf numFmtId="0" fontId="0" fillId="2" borderId="0" applyFill="0" applyBorder="0" applyAlignment="0">
      <alignment horizontal="center" vertical="center" wrapText="1"/>
    </xf>
    <xf numFmtId="0" fontId="12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36">
    <xf numFmtId="0" fontId="0" fillId="0" borderId="0" xfId="0" applyFill="1" applyAlignment="1"/>
    <xf numFmtId="0" fontId="4" fillId="0" borderId="0" xfId="0" applyFont="1" applyFill="1" applyBorder="1" applyAlignment="1"/>
    <xf numFmtId="164" fontId="4" fillId="0" borderId="0" xfId="0" applyNumberFormat="1" applyFont="1" applyFill="1" applyAlignment="1"/>
    <xf numFmtId="0" fontId="4" fillId="0" borderId="0" xfId="0" applyNumberFormat="1" applyFont="1" applyFill="1" applyAlignment="1"/>
    <xf numFmtId="0" fontId="4" fillId="0" borderId="0" xfId="0" applyFont="1" applyFill="1" applyAlignment="1">
      <alignment vertical="center"/>
    </xf>
    <xf numFmtId="9" fontId="0" fillId="0" borderId="0" xfId="0" applyNumberFormat="1" applyFill="1" applyAlignment="1"/>
    <xf numFmtId="164" fontId="0" fillId="0" borderId="0" xfId="0" applyNumberFormat="1" applyFill="1" applyAlignment="1"/>
    <xf numFmtId="0" fontId="4" fillId="0" borderId="0" xfId="0" applyFont="1" applyFill="1" applyBorder="1" applyAlignment="1">
      <alignment horizontal="left"/>
    </xf>
    <xf numFmtId="0" fontId="16" fillId="3" borderId="0" xfId="0" applyFont="1" applyFill="1" applyAlignment="1"/>
    <xf numFmtId="0" fontId="6" fillId="3" borderId="0" xfId="0" applyFont="1" applyFill="1" applyBorder="1" applyAlignment="1"/>
    <xf numFmtId="0" fontId="4" fillId="3" borderId="0" xfId="0" applyFont="1" applyFill="1" applyBorder="1" applyAlignment="1"/>
    <xf numFmtId="0" fontId="7" fillId="3" borderId="0" xfId="0" applyFont="1" applyFill="1" applyAlignment="1"/>
    <xf numFmtId="0" fontId="6" fillId="3" borderId="0" xfId="0" applyFont="1" applyFill="1" applyAlignment="1"/>
    <xf numFmtId="0" fontId="15" fillId="3" borderId="0" xfId="0" applyFont="1" applyFill="1" applyAlignment="1"/>
    <xf numFmtId="0" fontId="17" fillId="3" borderId="0" xfId="0" applyFont="1" applyFill="1" applyAlignment="1"/>
    <xf numFmtId="0" fontId="5" fillId="3" borderId="0" xfId="0" applyFont="1" applyFill="1" applyBorder="1" applyAlignment="1"/>
    <xf numFmtId="0" fontId="5" fillId="3" borderId="0" xfId="0" applyFont="1" applyFill="1" applyAlignment="1">
      <alignment vertical="center"/>
    </xf>
    <xf numFmtId="0" fontId="8" fillId="3" borderId="0" xfId="0" applyFont="1" applyFill="1" applyAlignment="1"/>
    <xf numFmtId="0" fontId="5" fillId="3" borderId="0" xfId="0" applyFont="1" applyFill="1" applyAlignment="1"/>
    <xf numFmtId="0" fontId="0" fillId="3" borderId="1" xfId="0" applyFill="1" applyBorder="1" applyAlignment="1"/>
    <xf numFmtId="0" fontId="0" fillId="3" borderId="0" xfId="0" applyFill="1" applyAlignment="1"/>
    <xf numFmtId="165" fontId="5" fillId="3" borderId="0" xfId="2" applyNumberFormat="1" applyFont="1" applyFill="1"/>
    <xf numFmtId="167" fontId="4" fillId="3" borderId="0" xfId="0" applyNumberFormat="1" applyFont="1" applyFill="1" applyBorder="1" applyAlignment="1"/>
    <xf numFmtId="0" fontId="4" fillId="3" borderId="0" xfId="0" applyFont="1" applyFill="1" applyAlignment="1">
      <alignment vertical="center"/>
    </xf>
    <xf numFmtId="166" fontId="5" fillId="3" borderId="0" xfId="0" applyNumberFormat="1" applyFont="1" applyFill="1" applyAlignment="1"/>
    <xf numFmtId="164" fontId="5" fillId="3" borderId="0" xfId="2" applyNumberFormat="1" applyFont="1" applyFill="1"/>
    <xf numFmtId="165" fontId="0" fillId="3" borderId="0" xfId="0" applyNumberFormat="1" applyFill="1" applyAlignment="1"/>
    <xf numFmtId="0" fontId="10" fillId="3" borderId="0" xfId="0" applyFont="1" applyFill="1" applyBorder="1" applyAlignment="1"/>
    <xf numFmtId="0" fontId="0" fillId="3" borderId="0" xfId="0" applyFill="1" applyBorder="1" applyAlignment="1"/>
    <xf numFmtId="0" fontId="13" fillId="3" borderId="0" xfId="0" applyFont="1" applyFill="1" applyAlignment="1"/>
    <xf numFmtId="0" fontId="12" fillId="3" borderId="0" xfId="1" applyFill="1" applyBorder="1" applyAlignment="1" applyProtection="1"/>
    <xf numFmtId="168" fontId="0" fillId="3" borderId="0" xfId="0" applyNumberFormat="1" applyFill="1" applyAlignment="1"/>
    <xf numFmtId="0" fontId="2" fillId="4" borderId="0" xfId="0" applyFont="1" applyFill="1" applyAlignment="1"/>
    <xf numFmtId="0" fontId="14" fillId="4" borderId="0" xfId="0" applyFont="1" applyFill="1" applyAlignment="1"/>
    <xf numFmtId="0" fontId="14" fillId="4" borderId="0" xfId="0" applyFont="1" applyFill="1" applyBorder="1" applyAlignment="1"/>
    <xf numFmtId="0" fontId="16" fillId="4" borderId="0" xfId="0" applyFont="1" applyFill="1" applyAlignment="1"/>
  </cellXfs>
  <cellStyles count="3">
    <cellStyle name="Hyperlink" xfId="1" builtinId="8"/>
    <cellStyle name="Normal" xfId="0" builtinId="0"/>
    <cellStyle name="Percent" xfId="2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backward val="30"/>
            <c:dispRSqr val="0"/>
            <c:dispEq val="1"/>
            <c:trendlineLbl>
              <c:numFmt formatCode="0.000000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3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nb-NO"/>
                </a:p>
              </c:txPr>
            </c:trendlineLbl>
          </c:trendline>
          <c:xVal>
            <c:numRef>
              <c:f>Psychrometrics!#REF!</c:f>
              <c:numCache>
                <c:formatCode>General</c:formatCode>
                <c:ptCount val="5"/>
                <c:pt idx="0">
                  <c:v>30.9</c:v>
                </c:pt>
                <c:pt idx="1">
                  <c:v>40.5</c:v>
                </c:pt>
                <c:pt idx="2">
                  <c:v>65.2</c:v>
                </c:pt>
                <c:pt idx="3">
                  <c:v>88.3</c:v>
                </c:pt>
                <c:pt idx="4">
                  <c:v>94.3</c:v>
                </c:pt>
              </c:numCache>
            </c:numRef>
          </c:xVal>
          <c:yVal>
            <c:numRef>
              <c:f>Psychrometrics!#REF!</c:f>
              <c:numCache>
                <c:formatCode>General</c:formatCode>
                <c:ptCount val="5"/>
                <c:pt idx="0">
                  <c:v>29.5</c:v>
                </c:pt>
                <c:pt idx="1">
                  <c:v>40.1</c:v>
                </c:pt>
                <c:pt idx="2">
                  <c:v>66.8</c:v>
                </c:pt>
                <c:pt idx="3">
                  <c:v>91.1</c:v>
                </c:pt>
                <c:pt idx="4">
                  <c:v>97.4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Psychrometrics!#REF!</c15:sqref>
                        </c15:formulaRef>
                      </c:ext>
                    </c:extLst>
                    <c:strCache>
                      <c:ptCount val="1"/>
                      <c:pt idx="0">
                        <c:v>Sensor 1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EBC9-46A8-8421-6AE716A0815C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backward val="30"/>
            <c:dispRSqr val="0"/>
            <c:dispEq val="1"/>
            <c:trendlineLbl>
              <c:numFmt formatCode="0.000000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3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nb-NO"/>
                </a:p>
              </c:txPr>
            </c:trendlineLbl>
          </c:trendline>
          <c:xVal>
            <c:numRef>
              <c:f>Psychrometrics!#REF!</c:f>
              <c:numCache>
                <c:formatCode>General</c:formatCode>
                <c:ptCount val="5"/>
                <c:pt idx="0">
                  <c:v>30.9</c:v>
                </c:pt>
                <c:pt idx="1">
                  <c:v>40.5</c:v>
                </c:pt>
                <c:pt idx="2">
                  <c:v>65.2</c:v>
                </c:pt>
                <c:pt idx="3">
                  <c:v>88.3</c:v>
                </c:pt>
                <c:pt idx="4">
                  <c:v>94.3</c:v>
                </c:pt>
              </c:numCache>
            </c:numRef>
          </c:xVal>
          <c:yVal>
            <c:numRef>
              <c:f>Psychrometrics!#REF!</c:f>
              <c:numCache>
                <c:formatCode>General</c:formatCode>
                <c:ptCount val="5"/>
                <c:pt idx="0">
                  <c:v>25.3</c:v>
                </c:pt>
                <c:pt idx="1">
                  <c:v>35.5</c:v>
                </c:pt>
                <c:pt idx="2">
                  <c:v>61.1</c:v>
                </c:pt>
                <c:pt idx="3">
                  <c:v>85.5</c:v>
                </c:pt>
                <c:pt idx="4">
                  <c:v>91.4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Psychrometrics!#REF!</c15:sqref>
                        </c15:formulaRef>
                      </c:ext>
                    </c:extLst>
                    <c:strCache>
                      <c:ptCount val="1"/>
                      <c:pt idx="0">
                        <c:v>Sensor 2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3-EBC9-46A8-8421-6AE716A081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951552"/>
        <c:axId val="142953088"/>
      </c:scatterChart>
      <c:valAx>
        <c:axId val="1429515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3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b-NO"/>
          </a:p>
        </c:txPr>
        <c:crossAx val="142953088"/>
        <c:crosses val="autoZero"/>
        <c:crossBetween val="midCat"/>
      </c:valAx>
      <c:valAx>
        <c:axId val="14295308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3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b-NO"/>
          </a:p>
        </c:txPr>
        <c:crossAx val="14295155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b-N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b-NO"/>
    </a:p>
  </c:txPr>
  <c:printSettings>
    <c:headerFooter alignWithMargins="0"/>
    <c:pageMargins b="1" l="0.75000000000000011" r="0.75000000000000011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84132841328414"/>
          <c:y val="3.0418279187595796E-2"/>
          <c:w val="0.83948339483394818"/>
          <c:h val="0.8631186719480306"/>
        </c:manualLayout>
      </c:layout>
      <c:scatterChart>
        <c:scatterStyle val="lineMarker"/>
        <c:varyColors val="0"/>
        <c:ser>
          <c:idx val="0"/>
          <c:order val="0"/>
          <c:tx>
            <c:strRef>
              <c:f>'chart data'!$B$2</c:f>
              <c:strCache>
                <c:ptCount val="1"/>
                <c:pt idx="0">
                  <c:v>100 %</c:v>
                </c:pt>
              </c:strCache>
            </c:strRef>
          </c:tx>
          <c:spPr>
            <a:ln w="38100">
              <a:solidFill>
                <a:srgbClr val="00FF00"/>
              </a:solidFill>
              <a:prstDash val="solid"/>
            </a:ln>
          </c:spPr>
          <c:marker>
            <c:symbol val="none"/>
          </c:marker>
          <c:xVal>
            <c:numRef>
              <c:f>'chart data'!$A$3:$A$31</c:f>
              <c:numCache>
                <c:formatCode>General</c:formatCode>
                <c:ptCount val="29"/>
                <c:pt idx="0">
                  <c:v>-20</c:v>
                </c:pt>
                <c:pt idx="1">
                  <c:v>-17.5</c:v>
                </c:pt>
                <c:pt idx="2">
                  <c:v>-15</c:v>
                </c:pt>
                <c:pt idx="3">
                  <c:v>-12.5</c:v>
                </c:pt>
                <c:pt idx="4">
                  <c:v>-10</c:v>
                </c:pt>
                <c:pt idx="5">
                  <c:v>-7.5</c:v>
                </c:pt>
                <c:pt idx="6">
                  <c:v>-5</c:v>
                </c:pt>
                <c:pt idx="7">
                  <c:v>-2.5</c:v>
                </c:pt>
                <c:pt idx="8">
                  <c:v>0</c:v>
                </c:pt>
                <c:pt idx="9">
                  <c:v>2.5</c:v>
                </c:pt>
                <c:pt idx="10">
                  <c:v>5</c:v>
                </c:pt>
                <c:pt idx="11">
                  <c:v>7.5</c:v>
                </c:pt>
                <c:pt idx="12">
                  <c:v>10</c:v>
                </c:pt>
                <c:pt idx="13">
                  <c:v>12.5</c:v>
                </c:pt>
                <c:pt idx="14">
                  <c:v>15</c:v>
                </c:pt>
                <c:pt idx="15">
                  <c:v>17.5</c:v>
                </c:pt>
                <c:pt idx="16">
                  <c:v>20</c:v>
                </c:pt>
                <c:pt idx="17">
                  <c:v>22.5</c:v>
                </c:pt>
                <c:pt idx="18">
                  <c:v>25</c:v>
                </c:pt>
                <c:pt idx="19">
                  <c:v>27.5</c:v>
                </c:pt>
                <c:pt idx="20">
                  <c:v>30</c:v>
                </c:pt>
                <c:pt idx="21">
                  <c:v>32.5</c:v>
                </c:pt>
                <c:pt idx="22">
                  <c:v>35</c:v>
                </c:pt>
                <c:pt idx="23">
                  <c:v>37.5</c:v>
                </c:pt>
                <c:pt idx="24">
                  <c:v>40</c:v>
                </c:pt>
                <c:pt idx="25">
                  <c:v>0</c:v>
                </c:pt>
                <c:pt idx="26">
                  <c:v>20</c:v>
                </c:pt>
                <c:pt idx="27">
                  <c:v>30</c:v>
                </c:pt>
                <c:pt idx="28">
                  <c:v>28</c:v>
                </c:pt>
              </c:numCache>
            </c:numRef>
          </c:xVal>
          <c:yVal>
            <c:numRef>
              <c:f>'chart data'!$B$3:$B$31</c:f>
              <c:numCache>
                <c:formatCode>General</c:formatCode>
                <c:ptCount val="29"/>
                <c:pt idx="0">
                  <c:v>7.7131501465268495E-4</c:v>
                </c:pt>
                <c:pt idx="1">
                  <c:v>9.5477526134112826E-4</c:v>
                </c:pt>
                <c:pt idx="2">
                  <c:v>1.1765056429931758E-3</c:v>
                </c:pt>
                <c:pt idx="3">
                  <c:v>1.4433715965413709E-3</c:v>
                </c:pt>
                <c:pt idx="4">
                  <c:v>1.7632675676740393E-3</c:v>
                </c:pt>
                <c:pt idx="5">
                  <c:v>2.1452424176928286E-3</c:v>
                </c:pt>
                <c:pt idx="6">
                  <c:v>2.5996380942946758E-3</c:v>
                </c:pt>
                <c:pt idx="7">
                  <c:v>3.1382434032095857E-3</c:v>
                </c:pt>
                <c:pt idx="8">
                  <c:v>3.7744651604585361E-3</c:v>
                </c:pt>
                <c:pt idx="9">
                  <c:v>4.5235195666307642E-3</c:v>
                </c:pt>
                <c:pt idx="10">
                  <c:v>5.4026473544888489E-3</c:v>
                </c:pt>
                <c:pt idx="11">
                  <c:v>6.4313571570060509E-3</c:v>
                </c:pt>
                <c:pt idx="12">
                  <c:v>7.6317026731561747E-3</c:v>
                </c:pt>
                <c:pt idx="13">
                  <c:v>9.0286006366725909E-3</c:v>
                </c:pt>
                <c:pt idx="14">
                  <c:v>1.0650198401884223E-2</c:v>
                </c:pt>
                <c:pt idx="15">
                  <c:v>1.2528302261451527E-2</c:v>
                </c:pt>
                <c:pt idx="16">
                  <c:v>1.4698880552202994E-2</c:v>
                </c:pt>
                <c:pt idx="17">
                  <c:v>1.7202659389176676E-2</c:v>
                </c:pt>
                <c:pt idx="18">
                  <c:v>2.0085833770744181E-2</c:v>
                </c:pt>
                <c:pt idx="19">
                  <c:v>2.3400923201322671E-2</c:v>
                </c:pt>
                <c:pt idx="20">
                  <c:v>2.7207809415959641E-2</c:v>
                </c:pt>
                <c:pt idx="21">
                  <c:v>3.1575005015195286E-2</c:v>
                </c:pt>
                <c:pt idx="22">
                  <c:v>3.6581216901737948E-2</c:v>
                </c:pt>
                <c:pt idx="23">
                  <c:v>4.231728890011608E-2</c:v>
                </c:pt>
                <c:pt idx="24">
                  <c:v>4.8888636097189776E-2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985-4ED4-BD59-4D1CB78FF301}"/>
            </c:ext>
          </c:extLst>
        </c:ser>
        <c:ser>
          <c:idx val="1"/>
          <c:order val="1"/>
          <c:tx>
            <c:strRef>
              <c:f>'chart data'!$C$2</c:f>
              <c:strCache>
                <c:ptCount val="1"/>
                <c:pt idx="0">
                  <c:v>90 %</c:v>
                </c:pt>
              </c:strCache>
            </c:strRef>
          </c:tx>
          <c:spPr>
            <a:ln w="3175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'chart data'!$A$3:$A$31</c:f>
              <c:numCache>
                <c:formatCode>General</c:formatCode>
                <c:ptCount val="29"/>
                <c:pt idx="0">
                  <c:v>-20</c:v>
                </c:pt>
                <c:pt idx="1">
                  <c:v>-17.5</c:v>
                </c:pt>
                <c:pt idx="2">
                  <c:v>-15</c:v>
                </c:pt>
                <c:pt idx="3">
                  <c:v>-12.5</c:v>
                </c:pt>
                <c:pt idx="4">
                  <c:v>-10</c:v>
                </c:pt>
                <c:pt idx="5">
                  <c:v>-7.5</c:v>
                </c:pt>
                <c:pt idx="6">
                  <c:v>-5</c:v>
                </c:pt>
                <c:pt idx="7">
                  <c:v>-2.5</c:v>
                </c:pt>
                <c:pt idx="8">
                  <c:v>0</c:v>
                </c:pt>
                <c:pt idx="9">
                  <c:v>2.5</c:v>
                </c:pt>
                <c:pt idx="10">
                  <c:v>5</c:v>
                </c:pt>
                <c:pt idx="11">
                  <c:v>7.5</c:v>
                </c:pt>
                <c:pt idx="12">
                  <c:v>10</c:v>
                </c:pt>
                <c:pt idx="13">
                  <c:v>12.5</c:v>
                </c:pt>
                <c:pt idx="14">
                  <c:v>15</c:v>
                </c:pt>
                <c:pt idx="15">
                  <c:v>17.5</c:v>
                </c:pt>
                <c:pt idx="16">
                  <c:v>20</c:v>
                </c:pt>
                <c:pt idx="17">
                  <c:v>22.5</c:v>
                </c:pt>
                <c:pt idx="18">
                  <c:v>25</c:v>
                </c:pt>
                <c:pt idx="19">
                  <c:v>27.5</c:v>
                </c:pt>
                <c:pt idx="20">
                  <c:v>30</c:v>
                </c:pt>
                <c:pt idx="21">
                  <c:v>32.5</c:v>
                </c:pt>
                <c:pt idx="22">
                  <c:v>35</c:v>
                </c:pt>
                <c:pt idx="23">
                  <c:v>37.5</c:v>
                </c:pt>
                <c:pt idx="24">
                  <c:v>40</c:v>
                </c:pt>
                <c:pt idx="25">
                  <c:v>0</c:v>
                </c:pt>
                <c:pt idx="26">
                  <c:v>20</c:v>
                </c:pt>
                <c:pt idx="27">
                  <c:v>30</c:v>
                </c:pt>
                <c:pt idx="28">
                  <c:v>28</c:v>
                </c:pt>
              </c:numCache>
            </c:numRef>
          </c:xVal>
          <c:yVal>
            <c:numRef>
              <c:f>'chart data'!$C$3:$C$31</c:f>
              <c:numCache>
                <c:formatCode>General</c:formatCode>
                <c:ptCount val="29"/>
                <c:pt idx="0">
                  <c:v>6.9409743358678341E-4</c:v>
                </c:pt>
                <c:pt idx="1">
                  <c:v>8.5916584086101326E-4</c:v>
                </c:pt>
                <c:pt idx="2">
                  <c:v>1.0586548176793021E-3</c:v>
                </c:pt>
                <c:pt idx="3">
                  <c:v>1.2987330349346312E-3</c:v>
                </c:pt>
                <c:pt idx="4">
                  <c:v>1.5864910270552638E-3</c:v>
                </c:pt>
                <c:pt idx="5">
                  <c:v>1.9300524530074417E-3</c:v>
                </c:pt>
                <c:pt idx="6">
                  <c:v>2.3386967442229835E-3</c:v>
                </c:pt>
                <c:pt idx="7">
                  <c:v>2.8229946211378162E-3</c:v>
                </c:pt>
                <c:pt idx="8">
                  <c:v>3.3949583091966631E-3</c:v>
                </c:pt>
                <c:pt idx="9">
                  <c:v>4.0682087274652437E-3</c:v>
                </c:pt>
                <c:pt idx="10">
                  <c:v>4.8581624808163816E-3</c:v>
                </c:pt>
                <c:pt idx="11">
                  <c:v>5.7822421883680156E-3</c:v>
                </c:pt>
                <c:pt idx="12">
                  <c:v>6.8601145626798017E-3</c:v>
                </c:pt>
                <c:pt idx="13">
                  <c:v>8.1139617629274793E-3</c:v>
                </c:pt>
                <c:pt idx="14">
                  <c:v>9.5687929418584606E-3</c:v>
                </c:pt>
                <c:pt idx="15">
                  <c:v>1.1252804671116803E-2</c:v>
                </c:pt>
                <c:pt idx="16">
                  <c:v>1.3197801169302706E-2</c:v>
                </c:pt>
                <c:pt idx="17">
                  <c:v>1.5439688115266035E-2</c:v>
                </c:pt>
                <c:pt idx="18">
                  <c:v>1.801905749982113E-2</c:v>
                </c:pt>
                <c:pt idx="19">
                  <c:v>2.0981885717823591E-2</c:v>
                </c:pt>
                <c:pt idx="20">
                  <c:v>2.4380373295831342E-2</c:v>
                </c:pt>
                <c:pt idx="21">
                  <c:v>2.827396279902596E-2</c:v>
                </c:pt>
                <c:pt idx="22">
                  <c:v>3.2730582283598417E-2</c:v>
                </c:pt>
                <c:pt idx="23">
                  <c:v>3.78281761803465E-2</c:v>
                </c:pt>
                <c:pt idx="24">
                  <c:v>4.365660518423805E-2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985-4ED4-BD59-4D1CB78FF301}"/>
            </c:ext>
          </c:extLst>
        </c:ser>
        <c:ser>
          <c:idx val="2"/>
          <c:order val="2"/>
          <c:tx>
            <c:strRef>
              <c:f>'chart data'!$D$2</c:f>
              <c:strCache>
                <c:ptCount val="1"/>
                <c:pt idx="0">
                  <c:v>80 %</c:v>
                </c:pt>
              </c:strCache>
            </c:strRef>
          </c:tx>
          <c:spPr>
            <a:ln w="3175">
              <a:solidFill>
                <a:srgbClr val="FFCC00"/>
              </a:solidFill>
              <a:prstDash val="solid"/>
            </a:ln>
          </c:spPr>
          <c:marker>
            <c:symbol val="none"/>
          </c:marker>
          <c:xVal>
            <c:numRef>
              <c:f>'chart data'!$A$3:$A$31</c:f>
              <c:numCache>
                <c:formatCode>General</c:formatCode>
                <c:ptCount val="29"/>
                <c:pt idx="0">
                  <c:v>-20</c:v>
                </c:pt>
                <c:pt idx="1">
                  <c:v>-17.5</c:v>
                </c:pt>
                <c:pt idx="2">
                  <c:v>-15</c:v>
                </c:pt>
                <c:pt idx="3">
                  <c:v>-12.5</c:v>
                </c:pt>
                <c:pt idx="4">
                  <c:v>-10</c:v>
                </c:pt>
                <c:pt idx="5">
                  <c:v>-7.5</c:v>
                </c:pt>
                <c:pt idx="6">
                  <c:v>-5</c:v>
                </c:pt>
                <c:pt idx="7">
                  <c:v>-2.5</c:v>
                </c:pt>
                <c:pt idx="8">
                  <c:v>0</c:v>
                </c:pt>
                <c:pt idx="9">
                  <c:v>2.5</c:v>
                </c:pt>
                <c:pt idx="10">
                  <c:v>5</c:v>
                </c:pt>
                <c:pt idx="11">
                  <c:v>7.5</c:v>
                </c:pt>
                <c:pt idx="12">
                  <c:v>10</c:v>
                </c:pt>
                <c:pt idx="13">
                  <c:v>12.5</c:v>
                </c:pt>
                <c:pt idx="14">
                  <c:v>15</c:v>
                </c:pt>
                <c:pt idx="15">
                  <c:v>17.5</c:v>
                </c:pt>
                <c:pt idx="16">
                  <c:v>20</c:v>
                </c:pt>
                <c:pt idx="17">
                  <c:v>22.5</c:v>
                </c:pt>
                <c:pt idx="18">
                  <c:v>25</c:v>
                </c:pt>
                <c:pt idx="19">
                  <c:v>27.5</c:v>
                </c:pt>
                <c:pt idx="20">
                  <c:v>30</c:v>
                </c:pt>
                <c:pt idx="21">
                  <c:v>32.5</c:v>
                </c:pt>
                <c:pt idx="22">
                  <c:v>35</c:v>
                </c:pt>
                <c:pt idx="23">
                  <c:v>37.5</c:v>
                </c:pt>
                <c:pt idx="24">
                  <c:v>40</c:v>
                </c:pt>
                <c:pt idx="25">
                  <c:v>0</c:v>
                </c:pt>
                <c:pt idx="26">
                  <c:v>20</c:v>
                </c:pt>
                <c:pt idx="27">
                  <c:v>30</c:v>
                </c:pt>
                <c:pt idx="28">
                  <c:v>28</c:v>
                </c:pt>
              </c:numCache>
            </c:numRef>
          </c:xVal>
          <c:yVal>
            <c:numRef>
              <c:f>'chart data'!$D$3:$D$31</c:f>
              <c:numCache>
                <c:formatCode>General</c:formatCode>
                <c:ptCount val="29"/>
                <c:pt idx="0">
                  <c:v>6.1689900029462583E-4</c:v>
                </c:pt>
                <c:pt idx="1">
                  <c:v>7.6358576622039974E-4</c:v>
                </c:pt>
                <c:pt idx="2">
                  <c:v>9.4084856213427564E-4</c:v>
                </c:pt>
                <c:pt idx="3">
                  <c:v>1.1541615758330127E-3</c:v>
                </c:pt>
                <c:pt idx="4">
                  <c:v>1.4098146649729297E-3</c:v>
                </c:pt>
                <c:pt idx="5">
                  <c:v>1.7150108346874694E-3</c:v>
                </c:pt>
                <c:pt idx="6">
                  <c:v>2.0779733511939852E-3</c:v>
                </c:pt>
                <c:pt idx="7">
                  <c:v>2.5080636581712719E-3</c:v>
                </c:pt>
                <c:pt idx="8">
                  <c:v>3.0159115304044574E-3</c:v>
                </c:pt>
                <c:pt idx="9">
                  <c:v>3.6135592380529377E-3</c:v>
                </c:pt>
                <c:pt idx="10">
                  <c:v>4.3146219215012419E-3</c:v>
                </c:pt>
                <c:pt idx="11">
                  <c:v>5.1344669118765828E-3</c:v>
                </c:pt>
                <c:pt idx="12">
                  <c:v>6.0904154022360796E-3</c:v>
                </c:pt>
                <c:pt idx="13">
                  <c:v>7.2019707126962651E-3</c:v>
                </c:pt>
                <c:pt idx="14">
                  <c:v>8.4910784426851169E-3</c:v>
                </c:pt>
                <c:pt idx="15">
                  <c:v>9.9824251214400538E-3</c:v>
                </c:pt>
                <c:pt idx="16">
                  <c:v>1.170378362800655E-2</c:v>
                </c:pt>
                <c:pt idx="17">
                  <c:v>1.3686415752760309E-2</c:v>
                </c:pt>
                <c:pt idx="18">
                  <c:v>1.5965544945724396E-2</c:v>
                </c:pt>
                <c:pt idx="19">
                  <c:v>1.8580915720841189E-2</c:v>
                </c:pt>
                <c:pt idx="20">
                  <c:v>2.1577460602810357E-2</c:v>
                </c:pt>
                <c:pt idx="21">
                  <c:v>2.5006101248302312E-2</c:v>
                </c:pt>
                <c:pt idx="22">
                  <c:v>2.8924717910458819E-2</c:v>
                </c:pt>
                <c:pt idx="23">
                  <c:v>3.3399331395603249E-2</c:v>
                </c:pt>
                <c:pt idx="24">
                  <c:v>3.8505555006767674E-2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985-4ED4-BD59-4D1CB78FF301}"/>
            </c:ext>
          </c:extLst>
        </c:ser>
        <c:ser>
          <c:idx val="3"/>
          <c:order val="3"/>
          <c:tx>
            <c:strRef>
              <c:f>'chart data'!$E$2</c:f>
              <c:strCache>
                <c:ptCount val="1"/>
                <c:pt idx="0">
                  <c:v>70 %</c:v>
                </c:pt>
              </c:strCache>
            </c:strRef>
          </c:tx>
          <c:spPr>
            <a:ln w="3175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'chart data'!$A$3:$A$31</c:f>
              <c:numCache>
                <c:formatCode>General</c:formatCode>
                <c:ptCount val="29"/>
                <c:pt idx="0">
                  <c:v>-20</c:v>
                </c:pt>
                <c:pt idx="1">
                  <c:v>-17.5</c:v>
                </c:pt>
                <c:pt idx="2">
                  <c:v>-15</c:v>
                </c:pt>
                <c:pt idx="3">
                  <c:v>-12.5</c:v>
                </c:pt>
                <c:pt idx="4">
                  <c:v>-10</c:v>
                </c:pt>
                <c:pt idx="5">
                  <c:v>-7.5</c:v>
                </c:pt>
                <c:pt idx="6">
                  <c:v>-5</c:v>
                </c:pt>
                <c:pt idx="7">
                  <c:v>-2.5</c:v>
                </c:pt>
                <c:pt idx="8">
                  <c:v>0</c:v>
                </c:pt>
                <c:pt idx="9">
                  <c:v>2.5</c:v>
                </c:pt>
                <c:pt idx="10">
                  <c:v>5</c:v>
                </c:pt>
                <c:pt idx="11">
                  <c:v>7.5</c:v>
                </c:pt>
                <c:pt idx="12">
                  <c:v>10</c:v>
                </c:pt>
                <c:pt idx="13">
                  <c:v>12.5</c:v>
                </c:pt>
                <c:pt idx="14">
                  <c:v>15</c:v>
                </c:pt>
                <c:pt idx="15">
                  <c:v>17.5</c:v>
                </c:pt>
                <c:pt idx="16">
                  <c:v>20</c:v>
                </c:pt>
                <c:pt idx="17">
                  <c:v>22.5</c:v>
                </c:pt>
                <c:pt idx="18">
                  <c:v>25</c:v>
                </c:pt>
                <c:pt idx="19">
                  <c:v>27.5</c:v>
                </c:pt>
                <c:pt idx="20">
                  <c:v>30</c:v>
                </c:pt>
                <c:pt idx="21">
                  <c:v>32.5</c:v>
                </c:pt>
                <c:pt idx="22">
                  <c:v>35</c:v>
                </c:pt>
                <c:pt idx="23">
                  <c:v>37.5</c:v>
                </c:pt>
                <c:pt idx="24">
                  <c:v>40</c:v>
                </c:pt>
                <c:pt idx="25">
                  <c:v>0</c:v>
                </c:pt>
                <c:pt idx="26">
                  <c:v>20</c:v>
                </c:pt>
                <c:pt idx="27">
                  <c:v>30</c:v>
                </c:pt>
                <c:pt idx="28">
                  <c:v>28</c:v>
                </c:pt>
              </c:numCache>
            </c:numRef>
          </c:xVal>
          <c:yVal>
            <c:numRef>
              <c:f>'chart data'!$E$3:$E$31</c:f>
              <c:numCache>
                <c:formatCode>General</c:formatCode>
                <c:ptCount val="29"/>
                <c:pt idx="0">
                  <c:v>5.3971970765493641E-4</c:v>
                </c:pt>
                <c:pt idx="1">
                  <c:v>6.6803502391048057E-4</c:v>
                </c:pt>
                <c:pt idx="2">
                  <c:v>8.230868510792482E-4</c:v>
                </c:pt>
                <c:pt idx="3">
                  <c:v>1.0096571725508121E-3</c:v>
                </c:pt>
                <c:pt idx="4">
                  <c:v>1.2332383962950133E-3</c:v>
                </c:pt>
                <c:pt idx="5">
                  <c:v>1.5001174093865787E-3</c:v>
                </c:pt>
                <c:pt idx="6">
                  <c:v>1.8174676422415099E-3</c:v>
                </c:pt>
                <c:pt idx="7">
                  <c:v>2.1934500339365194E-3</c:v>
                </c:pt>
                <c:pt idx="8">
                  <c:v>2.6373239879766393E-3</c:v>
                </c:pt>
                <c:pt idx="9">
                  <c:v>3.1595696585003685E-3</c:v>
                </c:pt>
                <c:pt idx="10">
                  <c:v>3.772023222048245E-3</c:v>
                </c:pt>
                <c:pt idx="11">
                  <c:v>4.4880271843715696E-3</c:v>
                </c:pt>
                <c:pt idx="12">
                  <c:v>5.3225982637051588E-3</c:v>
                </c:pt>
                <c:pt idx="13">
                  <c:v>6.2926160046674721E-3</c:v>
                </c:pt>
                <c:pt idx="14">
                  <c:v>7.4170360400482131E-3</c:v>
                </c:pt>
                <c:pt idx="15">
                  <c:v>8.7171328692523618E-3</c:v>
                </c:pt>
                <c:pt idx="16">
                  <c:v>1.0216778211514049E-2</c:v>
                </c:pt>
                <c:pt idx="17">
                  <c:v>1.1942762483993993E-2</c:v>
                </c:pt>
                <c:pt idx="18">
                  <c:v>1.3925168835259504E-2</c:v>
                </c:pt>
                <c:pt idx="19">
                  <c:v>1.6197811547797297E-2</c:v>
                </c:pt>
                <c:pt idx="20">
                  <c:v>1.8798753663056552E-2</c:v>
                </c:pt>
                <c:pt idx="21">
                  <c:v>2.1770922587934789E-2</c:v>
                </c:pt>
                <c:pt idx="22">
                  <c:v>2.5162847498577428E-2</c:v>
                </c:pt>
                <c:pt idx="23">
                  <c:v>2.9029548960892739E-2</c:v>
                </c:pt>
                <c:pt idx="24">
                  <c:v>3.3433619888235094E-2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985-4ED4-BD59-4D1CB78FF301}"/>
            </c:ext>
          </c:extLst>
        </c:ser>
        <c:ser>
          <c:idx val="4"/>
          <c:order val="4"/>
          <c:tx>
            <c:strRef>
              <c:f>'chart data'!$F$2</c:f>
              <c:strCache>
                <c:ptCount val="1"/>
                <c:pt idx="0">
                  <c:v>60 %</c:v>
                </c:pt>
              </c:strCache>
            </c:strRef>
          </c:tx>
          <c:spPr>
            <a:ln w="3175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'chart data'!$A$3:$A$31</c:f>
              <c:numCache>
                <c:formatCode>General</c:formatCode>
                <c:ptCount val="29"/>
                <c:pt idx="0">
                  <c:v>-20</c:v>
                </c:pt>
                <c:pt idx="1">
                  <c:v>-17.5</c:v>
                </c:pt>
                <c:pt idx="2">
                  <c:v>-15</c:v>
                </c:pt>
                <c:pt idx="3">
                  <c:v>-12.5</c:v>
                </c:pt>
                <c:pt idx="4">
                  <c:v>-10</c:v>
                </c:pt>
                <c:pt idx="5">
                  <c:v>-7.5</c:v>
                </c:pt>
                <c:pt idx="6">
                  <c:v>-5</c:v>
                </c:pt>
                <c:pt idx="7">
                  <c:v>-2.5</c:v>
                </c:pt>
                <c:pt idx="8">
                  <c:v>0</c:v>
                </c:pt>
                <c:pt idx="9">
                  <c:v>2.5</c:v>
                </c:pt>
                <c:pt idx="10">
                  <c:v>5</c:v>
                </c:pt>
                <c:pt idx="11">
                  <c:v>7.5</c:v>
                </c:pt>
                <c:pt idx="12">
                  <c:v>10</c:v>
                </c:pt>
                <c:pt idx="13">
                  <c:v>12.5</c:v>
                </c:pt>
                <c:pt idx="14">
                  <c:v>15</c:v>
                </c:pt>
                <c:pt idx="15">
                  <c:v>17.5</c:v>
                </c:pt>
                <c:pt idx="16">
                  <c:v>20</c:v>
                </c:pt>
                <c:pt idx="17">
                  <c:v>22.5</c:v>
                </c:pt>
                <c:pt idx="18">
                  <c:v>25</c:v>
                </c:pt>
                <c:pt idx="19">
                  <c:v>27.5</c:v>
                </c:pt>
                <c:pt idx="20">
                  <c:v>30</c:v>
                </c:pt>
                <c:pt idx="21">
                  <c:v>32.5</c:v>
                </c:pt>
                <c:pt idx="22">
                  <c:v>35</c:v>
                </c:pt>
                <c:pt idx="23">
                  <c:v>37.5</c:v>
                </c:pt>
                <c:pt idx="24">
                  <c:v>40</c:v>
                </c:pt>
                <c:pt idx="25">
                  <c:v>0</c:v>
                </c:pt>
                <c:pt idx="26">
                  <c:v>20</c:v>
                </c:pt>
                <c:pt idx="27">
                  <c:v>30</c:v>
                </c:pt>
                <c:pt idx="28">
                  <c:v>28</c:v>
                </c:pt>
              </c:numCache>
            </c:numRef>
          </c:xVal>
          <c:yVal>
            <c:numRef>
              <c:f>'chart data'!$F$3:$F$31</c:f>
              <c:numCache>
                <c:formatCode>General</c:formatCode>
                <c:ptCount val="29"/>
                <c:pt idx="0">
                  <c:v>4.6255954854997056E-4</c:v>
                </c:pt>
                <c:pt idx="1">
                  <c:v>5.7251360043073863E-4</c:v>
                </c:pt>
                <c:pt idx="2">
                  <c:v>7.0536965925448527E-4</c:v>
                </c:pt>
                <c:pt idx="3">
                  <c:v>8.6521977844562466E-4</c:v>
                </c:pt>
                <c:pt idx="4">
                  <c:v>1.0567621359859251E-3</c:v>
                </c:pt>
                <c:pt idx="5">
                  <c:v>1.2853720239697167E-3</c:v>
                </c:pt>
                <c:pt idx="6">
                  <c:v>1.5571793448550077E-3</c:v>
                </c:pt>
                <c:pt idx="7">
                  <c:v>1.8791532690277323E-3</c:v>
                </c:pt>
                <c:pt idx="8">
                  <c:v>2.2591948478326825E-3</c:v>
                </c:pt>
                <c:pt idx="9">
                  <c:v>2.7062385530909508E-3</c:v>
                </c:pt>
                <c:pt idx="10">
                  <c:v>3.2303639364612575E-3</c:v>
                </c:pt>
                <c:pt idx="11">
                  <c:v>3.8429188797595012E-3</c:v>
                </c:pt>
                <c:pt idx="12">
                  <c:v>4.5566562528062638E-3</c:v>
                </c:pt>
                <c:pt idx="13">
                  <c:v>5.3858862238131263E-3</c:v>
                </c:pt>
                <c:pt idx="14">
                  <c:v>6.346646997965907E-3</c:v>
                </c:pt>
                <c:pt idx="15">
                  <c:v>7.4568974171178573E-3</c:v>
                </c:pt>
                <c:pt idx="16">
                  <c:v>8.7367356686206075E-3</c:v>
                </c:pt>
                <c:pt idx="17">
                  <c:v>1.0208649364723477E-2</c:v>
                </c:pt>
                <c:pt idx="18">
                  <c:v>1.1897803518388862E-2</c:v>
                </c:pt>
                <c:pt idx="19">
                  <c:v>1.3832374526166265E-2</c:v>
                </c:pt>
                <c:pt idx="20">
                  <c:v>1.604394026595685E-2</c:v>
                </c:pt>
                <c:pt idx="21">
                  <c:v>1.8567938950095172E-2</c:v>
                </c:pt>
                <c:pt idx="22">
                  <c:v>2.1444212608012866E-2</c:v>
                </c:pt>
                <c:pt idx="23">
                  <c:v>2.4717655233203639E-2</c:v>
                </c:pt>
                <c:pt idx="24">
                  <c:v>2.8438991025248484E-2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985-4ED4-BD59-4D1CB78FF301}"/>
            </c:ext>
          </c:extLst>
        </c:ser>
        <c:ser>
          <c:idx val="5"/>
          <c:order val="5"/>
          <c:tx>
            <c:strRef>
              <c:f>'chart data'!$G$2</c:f>
              <c:strCache>
                <c:ptCount val="1"/>
                <c:pt idx="0">
                  <c:v>50 %</c:v>
                </c:pt>
              </c:strCache>
            </c:strRef>
          </c:tx>
          <c:spPr>
            <a:ln w="381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'chart data'!$A$3:$A$31</c:f>
              <c:numCache>
                <c:formatCode>General</c:formatCode>
                <c:ptCount val="29"/>
                <c:pt idx="0">
                  <c:v>-20</c:v>
                </c:pt>
                <c:pt idx="1">
                  <c:v>-17.5</c:v>
                </c:pt>
                <c:pt idx="2">
                  <c:v>-15</c:v>
                </c:pt>
                <c:pt idx="3">
                  <c:v>-12.5</c:v>
                </c:pt>
                <c:pt idx="4">
                  <c:v>-10</c:v>
                </c:pt>
                <c:pt idx="5">
                  <c:v>-7.5</c:v>
                </c:pt>
                <c:pt idx="6">
                  <c:v>-5</c:v>
                </c:pt>
                <c:pt idx="7">
                  <c:v>-2.5</c:v>
                </c:pt>
                <c:pt idx="8">
                  <c:v>0</c:v>
                </c:pt>
                <c:pt idx="9">
                  <c:v>2.5</c:v>
                </c:pt>
                <c:pt idx="10">
                  <c:v>5</c:v>
                </c:pt>
                <c:pt idx="11">
                  <c:v>7.5</c:v>
                </c:pt>
                <c:pt idx="12">
                  <c:v>10</c:v>
                </c:pt>
                <c:pt idx="13">
                  <c:v>12.5</c:v>
                </c:pt>
                <c:pt idx="14">
                  <c:v>15</c:v>
                </c:pt>
                <c:pt idx="15">
                  <c:v>17.5</c:v>
                </c:pt>
                <c:pt idx="16">
                  <c:v>20</c:v>
                </c:pt>
                <c:pt idx="17">
                  <c:v>22.5</c:v>
                </c:pt>
                <c:pt idx="18">
                  <c:v>25</c:v>
                </c:pt>
                <c:pt idx="19">
                  <c:v>27.5</c:v>
                </c:pt>
                <c:pt idx="20">
                  <c:v>30</c:v>
                </c:pt>
                <c:pt idx="21">
                  <c:v>32.5</c:v>
                </c:pt>
                <c:pt idx="22">
                  <c:v>35</c:v>
                </c:pt>
                <c:pt idx="23">
                  <c:v>37.5</c:v>
                </c:pt>
                <c:pt idx="24">
                  <c:v>40</c:v>
                </c:pt>
                <c:pt idx="25">
                  <c:v>0</c:v>
                </c:pt>
                <c:pt idx="26">
                  <c:v>20</c:v>
                </c:pt>
                <c:pt idx="27">
                  <c:v>30</c:v>
                </c:pt>
                <c:pt idx="28">
                  <c:v>28</c:v>
                </c:pt>
              </c:numCache>
            </c:numRef>
          </c:xVal>
          <c:yVal>
            <c:numRef>
              <c:f>'chart data'!$G$3:$G$31</c:f>
              <c:numCache>
                <c:formatCode>General</c:formatCode>
                <c:ptCount val="29"/>
                <c:pt idx="0">
                  <c:v>3.8541851586551215E-4</c:v>
                </c:pt>
                <c:pt idx="1">
                  <c:v>4.7702148228894055E-4</c:v>
                </c:pt>
                <c:pt idx="2">
                  <c:v>5.8769696141934655E-4</c:v>
                </c:pt>
                <c:pt idx="3">
                  <c:v>7.2084934691829322E-4</c:v>
                </c:pt>
                <c:pt idx="4">
                  <c:v>8.8038579910637224E-4</c:v>
                </c:pt>
                <c:pt idx="5">
                  <c:v>1.0707745255127475E-3</c:v>
                </c:pt>
                <c:pt idx="6">
                  <c:v>1.2971081869786003E-3</c:v>
                </c:pt>
                <c:pt idx="7">
                  <c:v>1.5651728850042518E-3</c:v>
                </c:pt>
                <c:pt idx="8">
                  <c:v>1.8815232779106823E-3</c:v>
                </c:pt>
                <c:pt idx="9">
                  <c:v>2.2535644902698555E-3</c:v>
                </c:pt>
                <c:pt idx="10">
                  <c:v>2.6896416272064387E-3</c:v>
                </c:pt>
                <c:pt idx="11">
                  <c:v>3.1991378889258183E-3</c:v>
                </c:pt>
                <c:pt idx="12">
                  <c:v>3.7925825088913376E-3</c:v>
                </c:pt>
                <c:pt idx="13">
                  <c:v>4.4817700209111066E-3</c:v>
                </c:pt>
                <c:pt idx="14">
                  <c:v>5.2798927077010067E-3</c:v>
                </c:pt>
                <c:pt idx="15">
                  <c:v>6.2016885108833993E-3</c:v>
                </c:pt>
                <c:pt idx="16">
                  <c:v>7.2636072082798838E-3</c:v>
                </c:pt>
                <c:pt idx="17">
                  <c:v>8.4839983122126095E-3</c:v>
                </c:pt>
                <c:pt idx="18">
                  <c:v>9.8833249424381802E-3</c:v>
                </c:pt>
                <c:pt idx="19">
                  <c:v>1.1484408918262691E-2</c:v>
                </c:pt>
                <c:pt idx="20">
                  <c:v>1.3312713547184997E-2</c:v>
                </c:pt>
                <c:pt idx="21">
                  <c:v>1.539667212895557E-2</c:v>
                </c:pt>
                <c:pt idx="22">
                  <c:v>1.7768072132852426E-2</c:v>
                </c:pt>
                <c:pt idx="23">
                  <c:v>2.0462507460589092E-2</c:v>
                </c:pt>
                <c:pt idx="24">
                  <c:v>2.3519914336812105E-2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B985-4ED4-BD59-4D1CB78FF301}"/>
            </c:ext>
          </c:extLst>
        </c:ser>
        <c:ser>
          <c:idx val="6"/>
          <c:order val="6"/>
          <c:tx>
            <c:strRef>
              <c:f>'chart data'!$H$2</c:f>
              <c:strCache>
                <c:ptCount val="1"/>
                <c:pt idx="0">
                  <c:v>40 %</c:v>
                </c:pt>
              </c:strCache>
            </c:strRef>
          </c:tx>
          <c:spPr>
            <a:ln w="3175">
              <a:solidFill>
                <a:srgbClr val="FFCC00"/>
              </a:solidFill>
              <a:prstDash val="solid"/>
            </a:ln>
          </c:spPr>
          <c:marker>
            <c:symbol val="none"/>
          </c:marker>
          <c:xVal>
            <c:numRef>
              <c:f>'chart data'!$A$3:$A$31</c:f>
              <c:numCache>
                <c:formatCode>General</c:formatCode>
                <c:ptCount val="29"/>
                <c:pt idx="0">
                  <c:v>-20</c:v>
                </c:pt>
                <c:pt idx="1">
                  <c:v>-17.5</c:v>
                </c:pt>
                <c:pt idx="2">
                  <c:v>-15</c:v>
                </c:pt>
                <c:pt idx="3">
                  <c:v>-12.5</c:v>
                </c:pt>
                <c:pt idx="4">
                  <c:v>-10</c:v>
                </c:pt>
                <c:pt idx="5">
                  <c:v>-7.5</c:v>
                </c:pt>
                <c:pt idx="6">
                  <c:v>-5</c:v>
                </c:pt>
                <c:pt idx="7">
                  <c:v>-2.5</c:v>
                </c:pt>
                <c:pt idx="8">
                  <c:v>0</c:v>
                </c:pt>
                <c:pt idx="9">
                  <c:v>2.5</c:v>
                </c:pt>
                <c:pt idx="10">
                  <c:v>5</c:v>
                </c:pt>
                <c:pt idx="11">
                  <c:v>7.5</c:v>
                </c:pt>
                <c:pt idx="12">
                  <c:v>10</c:v>
                </c:pt>
                <c:pt idx="13">
                  <c:v>12.5</c:v>
                </c:pt>
                <c:pt idx="14">
                  <c:v>15</c:v>
                </c:pt>
                <c:pt idx="15">
                  <c:v>17.5</c:v>
                </c:pt>
                <c:pt idx="16">
                  <c:v>20</c:v>
                </c:pt>
                <c:pt idx="17">
                  <c:v>22.5</c:v>
                </c:pt>
                <c:pt idx="18">
                  <c:v>25</c:v>
                </c:pt>
                <c:pt idx="19">
                  <c:v>27.5</c:v>
                </c:pt>
                <c:pt idx="20">
                  <c:v>30</c:v>
                </c:pt>
                <c:pt idx="21">
                  <c:v>32.5</c:v>
                </c:pt>
                <c:pt idx="22">
                  <c:v>35</c:v>
                </c:pt>
                <c:pt idx="23">
                  <c:v>37.5</c:v>
                </c:pt>
                <c:pt idx="24">
                  <c:v>40</c:v>
                </c:pt>
                <c:pt idx="25">
                  <c:v>0</c:v>
                </c:pt>
                <c:pt idx="26">
                  <c:v>20</c:v>
                </c:pt>
                <c:pt idx="27">
                  <c:v>30</c:v>
                </c:pt>
                <c:pt idx="28">
                  <c:v>28</c:v>
                </c:pt>
              </c:numCache>
            </c:numRef>
          </c:xVal>
          <c:yVal>
            <c:numRef>
              <c:f>'chart data'!$H$3:$H$31</c:f>
              <c:numCache>
                <c:formatCode>General</c:formatCode>
                <c:ptCount val="29"/>
                <c:pt idx="0">
                  <c:v>3.0829660249087154E-4</c:v>
                </c:pt>
                <c:pt idx="1">
                  <c:v>3.8155865600113026E-4</c:v>
                </c:pt>
                <c:pt idx="2">
                  <c:v>4.7006873235226919E-4</c:v>
                </c:pt>
                <c:pt idx="3">
                  <c:v>5.7654583141285775E-4</c:v>
                </c:pt>
                <c:pt idx="4">
                  <c:v>7.0410930081322173E-4</c:v>
                </c:pt>
                <c:pt idx="5">
                  <c:v>8.5632476130208777E-4</c:v>
                </c:pt>
                <c:pt idx="6">
                  <c:v>1.0372538970101328E-3</c:v>
                </c:pt>
                <c:pt idx="7">
                  <c:v>1.2515084043881611E-3</c:v>
                </c:pt>
                <c:pt idx="8">
                  <c:v>1.5043084481612568E-3</c:v>
                </c:pt>
                <c:pt idx="9">
                  <c:v>1.801546042628942E-3</c:v>
                </c:pt>
                <c:pt idx="10">
                  <c:v>2.1498538651756817E-3</c:v>
                </c:pt>
                <c:pt idx="11">
                  <c:v>2.556680119647636E-3</c:v>
                </c:pt>
                <c:pt idx="12">
                  <c:v>3.0303702047402032E-3</c:v>
                </c:pt>
                <c:pt idx="13">
                  <c:v>3.5802561120716358E-3</c:v>
                </c:pt>
                <c:pt idx="14">
                  <c:v>4.216754686682595E-3</c:v>
                </c:pt>
                <c:pt idx="15">
                  <c:v>4.9514761372575255E-3</c:v>
                </c:pt>
                <c:pt idx="16">
                  <c:v>5.7973444942421822E-3</c:v>
                </c:pt>
                <c:pt idx="17">
                  <c:v>6.7687320935128047E-3</c:v>
                </c:pt>
                <c:pt idx="18">
                  <c:v>7.8816106267931996E-3</c:v>
                </c:pt>
                <c:pt idx="19">
                  <c:v>9.1537218672480807E-3</c:v>
                </c:pt>
                <c:pt idx="20">
                  <c:v>1.0604771874752292E-2</c:v>
                </c:pt>
                <c:pt idx="21">
                  <c:v>1.2256653342677445E-2</c:v>
                </c:pt>
                <c:pt idx="22">
                  <c:v>1.4133701808817282E-2</c:v>
                </c:pt>
                <c:pt idx="23">
                  <c:v>1.6262992772469006E-2</c:v>
                </c:pt>
                <c:pt idx="24">
                  <c:v>1.867468841043958E-2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B985-4ED4-BD59-4D1CB78FF301}"/>
            </c:ext>
          </c:extLst>
        </c:ser>
        <c:ser>
          <c:idx val="7"/>
          <c:order val="7"/>
          <c:tx>
            <c:strRef>
              <c:f>'chart data'!$I$2</c:f>
              <c:strCache>
                <c:ptCount val="1"/>
                <c:pt idx="0">
                  <c:v>30 %</c:v>
                </c:pt>
              </c:strCache>
            </c:strRef>
          </c:tx>
          <c:spPr>
            <a:ln w="3175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'chart data'!$A$3:$A$31</c:f>
              <c:numCache>
                <c:formatCode>General</c:formatCode>
                <c:ptCount val="29"/>
                <c:pt idx="0">
                  <c:v>-20</c:v>
                </c:pt>
                <c:pt idx="1">
                  <c:v>-17.5</c:v>
                </c:pt>
                <c:pt idx="2">
                  <c:v>-15</c:v>
                </c:pt>
                <c:pt idx="3">
                  <c:v>-12.5</c:v>
                </c:pt>
                <c:pt idx="4">
                  <c:v>-10</c:v>
                </c:pt>
                <c:pt idx="5">
                  <c:v>-7.5</c:v>
                </c:pt>
                <c:pt idx="6">
                  <c:v>-5</c:v>
                </c:pt>
                <c:pt idx="7">
                  <c:v>-2.5</c:v>
                </c:pt>
                <c:pt idx="8">
                  <c:v>0</c:v>
                </c:pt>
                <c:pt idx="9">
                  <c:v>2.5</c:v>
                </c:pt>
                <c:pt idx="10">
                  <c:v>5</c:v>
                </c:pt>
                <c:pt idx="11">
                  <c:v>7.5</c:v>
                </c:pt>
                <c:pt idx="12">
                  <c:v>10</c:v>
                </c:pt>
                <c:pt idx="13">
                  <c:v>12.5</c:v>
                </c:pt>
                <c:pt idx="14">
                  <c:v>15</c:v>
                </c:pt>
                <c:pt idx="15">
                  <c:v>17.5</c:v>
                </c:pt>
                <c:pt idx="16">
                  <c:v>20</c:v>
                </c:pt>
                <c:pt idx="17">
                  <c:v>22.5</c:v>
                </c:pt>
                <c:pt idx="18">
                  <c:v>25</c:v>
                </c:pt>
                <c:pt idx="19">
                  <c:v>27.5</c:v>
                </c:pt>
                <c:pt idx="20">
                  <c:v>30</c:v>
                </c:pt>
                <c:pt idx="21">
                  <c:v>32.5</c:v>
                </c:pt>
                <c:pt idx="22">
                  <c:v>35</c:v>
                </c:pt>
                <c:pt idx="23">
                  <c:v>37.5</c:v>
                </c:pt>
                <c:pt idx="24">
                  <c:v>40</c:v>
                </c:pt>
                <c:pt idx="25">
                  <c:v>0</c:v>
                </c:pt>
                <c:pt idx="26">
                  <c:v>20</c:v>
                </c:pt>
                <c:pt idx="27">
                  <c:v>30</c:v>
                </c:pt>
                <c:pt idx="28">
                  <c:v>28</c:v>
                </c:pt>
              </c:numCache>
            </c:numRef>
          </c:xVal>
          <c:yVal>
            <c:numRef>
              <c:f>'chart data'!$I$3:$I$31</c:f>
              <c:numCache>
                <c:formatCode>General</c:formatCode>
                <c:ptCount val="29"/>
                <c:pt idx="0">
                  <c:v>2.3119380131888338E-4</c:v>
                </c:pt>
                <c:pt idx="1">
                  <c:v>2.861251080916227E-4</c:v>
                </c:pt>
                <c:pt idx="2">
                  <c:v>3.5248494685074914E-4</c:v>
                </c:pt>
                <c:pt idx="3">
                  <c:v>4.3230918541650628E-4</c:v>
                </c:pt>
                <c:pt idx="4">
                  <c:v>5.2793255635936575E-4</c:v>
                </c:pt>
                <c:pt idx="5">
                  <c:v>6.4202257883434624E-4</c:v>
                </c:pt>
                <c:pt idx="6">
                  <c:v>7.7761620380022785E-4</c:v>
                </c:pt>
                <c:pt idx="7">
                  <c:v>9.3815935066186547E-4</c:v>
                </c:pt>
                <c:pt idx="8">
                  <c:v>1.1275495305414645E-3</c:v>
                </c:pt>
                <c:pt idx="9">
                  <c:v>1.3501817868917538E-3</c:v>
                </c:pt>
                <c:pt idx="10">
                  <c:v>1.6109982296502357E-3</c:v>
                </c:pt>
                <c:pt idx="11">
                  <c:v>1.9155414965070332E-3</c:v>
                </c:pt>
                <c:pt idx="12">
                  <c:v>2.2700125463572217E-3</c:v>
                </c:pt>
                <c:pt idx="13">
                  <c:v>2.6813332782678373E-3</c:v>
                </c:pt>
                <c:pt idx="14">
                  <c:v>3.1572145774385768E-3</c:v>
                </c:pt>
                <c:pt idx="15">
                  <c:v>3.7062305214182593E-3</c:v>
                </c:pt>
                <c:pt idx="16">
                  <c:v>4.3378996397676556E-3</c:v>
                </c:pt>
                <c:pt idx="17">
                  <c:v>5.0627743139339196E-3</c:v>
                </c:pt>
                <c:pt idx="18">
                  <c:v>5.8925396380758869E-3</c:v>
                </c:pt>
                <c:pt idx="19">
                  <c:v>6.8401233443251405E-3</c:v>
                </c:pt>
                <c:pt idx="20">
                  <c:v>7.9198187379603442E-3</c:v>
                </c:pt>
                <c:pt idx="21">
                  <c:v>9.1474230024018582E-3</c:v>
                </c:pt>
                <c:pt idx="22">
                  <c:v>1.0540393737557352E-2</c:v>
                </c:pt>
                <c:pt idx="23">
                  <c:v>1.2118027209278404E-2</c:v>
                </c:pt>
                <c:pt idx="24">
                  <c:v>1.3901662540083685E-2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985-4ED4-BD59-4D1CB78FF301}"/>
            </c:ext>
          </c:extLst>
        </c:ser>
        <c:ser>
          <c:idx val="8"/>
          <c:order val="8"/>
          <c:tx>
            <c:strRef>
              <c:f>'chart data'!$J$2</c:f>
              <c:strCache>
                <c:ptCount val="1"/>
                <c:pt idx="0">
                  <c:v>20 %</c:v>
                </c:pt>
              </c:strCache>
            </c:strRef>
          </c:tx>
          <c:spPr>
            <a:ln w="3175">
              <a:solidFill>
                <a:srgbClr val="00FF00"/>
              </a:solidFill>
              <a:prstDash val="solid"/>
            </a:ln>
          </c:spPr>
          <c:marker>
            <c:symbol val="none"/>
          </c:marker>
          <c:xVal>
            <c:numRef>
              <c:f>'chart data'!$A$3:$A$31</c:f>
              <c:numCache>
                <c:formatCode>General</c:formatCode>
                <c:ptCount val="29"/>
                <c:pt idx="0">
                  <c:v>-20</c:v>
                </c:pt>
                <c:pt idx="1">
                  <c:v>-17.5</c:v>
                </c:pt>
                <c:pt idx="2">
                  <c:v>-15</c:v>
                </c:pt>
                <c:pt idx="3">
                  <c:v>-12.5</c:v>
                </c:pt>
                <c:pt idx="4">
                  <c:v>-10</c:v>
                </c:pt>
                <c:pt idx="5">
                  <c:v>-7.5</c:v>
                </c:pt>
                <c:pt idx="6">
                  <c:v>-5</c:v>
                </c:pt>
                <c:pt idx="7">
                  <c:v>-2.5</c:v>
                </c:pt>
                <c:pt idx="8">
                  <c:v>0</c:v>
                </c:pt>
                <c:pt idx="9">
                  <c:v>2.5</c:v>
                </c:pt>
                <c:pt idx="10">
                  <c:v>5</c:v>
                </c:pt>
                <c:pt idx="11">
                  <c:v>7.5</c:v>
                </c:pt>
                <c:pt idx="12">
                  <c:v>10</c:v>
                </c:pt>
                <c:pt idx="13">
                  <c:v>12.5</c:v>
                </c:pt>
                <c:pt idx="14">
                  <c:v>15</c:v>
                </c:pt>
                <c:pt idx="15">
                  <c:v>17.5</c:v>
                </c:pt>
                <c:pt idx="16">
                  <c:v>20</c:v>
                </c:pt>
                <c:pt idx="17">
                  <c:v>22.5</c:v>
                </c:pt>
                <c:pt idx="18">
                  <c:v>25</c:v>
                </c:pt>
                <c:pt idx="19">
                  <c:v>27.5</c:v>
                </c:pt>
                <c:pt idx="20">
                  <c:v>30</c:v>
                </c:pt>
                <c:pt idx="21">
                  <c:v>32.5</c:v>
                </c:pt>
                <c:pt idx="22">
                  <c:v>35</c:v>
                </c:pt>
                <c:pt idx="23">
                  <c:v>37.5</c:v>
                </c:pt>
                <c:pt idx="24">
                  <c:v>40</c:v>
                </c:pt>
                <c:pt idx="25">
                  <c:v>0</c:v>
                </c:pt>
                <c:pt idx="26">
                  <c:v>20</c:v>
                </c:pt>
                <c:pt idx="27">
                  <c:v>30</c:v>
                </c:pt>
                <c:pt idx="28">
                  <c:v>28</c:v>
                </c:pt>
              </c:numCache>
            </c:numRef>
          </c:xVal>
          <c:yVal>
            <c:numRef>
              <c:f>'chart data'!$J$3:$J$31</c:f>
              <c:numCache>
                <c:formatCode>General</c:formatCode>
                <c:ptCount val="29"/>
                <c:pt idx="0">
                  <c:v>1.541101052459046E-4</c:v>
                </c:pt>
                <c:pt idx="1">
                  <c:v>1.9072082509299779E-4</c:v>
                </c:pt>
                <c:pt idx="2">
                  <c:v>2.3494557973132352E-4</c:v>
                </c:pt>
                <c:pt idx="3">
                  <c:v>2.8813936245952439E-4</c:v>
                </c:pt>
                <c:pt idx="4">
                  <c:v>3.5185548109358471E-4</c:v>
                </c:pt>
                <c:pt idx="5">
                  <c:v>4.2786782581596147E-4</c:v>
                </c:pt>
                <c:pt idx="6">
                  <c:v>5.1819483665134372E-4</c:v>
                </c:pt>
                <c:pt idx="7">
                  <c:v>6.2512524826567877E-4</c:v>
                </c:pt>
                <c:pt idx="8">
                  <c:v>7.5124569900874606E-4</c:v>
                </c:pt>
                <c:pt idx="9">
                  <c:v>8.9947030389858163E-4</c:v>
                </c:pt>
                <c:pt idx="10">
                  <c:v>1.0730723082645202E-3</c:v>
                </c:pt>
                <c:pt idx="11">
                  <c:v>1.2757179608048797E-3</c:v>
                </c:pt>
                <c:pt idx="12">
                  <c:v>1.5115027727694275E-3</c:v>
                </c:pt>
                <c:pt idx="13">
                  <c:v>1.7849903648703483E-3</c:v>
                </c:pt>
                <c:pt idx="14">
                  <c:v>2.1012541465390642E-3</c:v>
                </c:pt>
                <c:pt idx="15">
                  <c:v>2.4659221246493622E-3</c:v>
                </c:pt>
                <c:pt idx="16">
                  <c:v>2.8852252024130719E-3</c:v>
                </c:pt>
                <c:pt idx="17">
                  <c:v>3.3660494057023483E-3</c:v>
                </c:pt>
                <c:pt idx="18">
                  <c:v>3.9159925657895212E-3</c:v>
                </c:pt>
                <c:pt idx="19">
                  <c:v>4.5434260970893372E-3</c:v>
                </c:pt>
                <c:pt idx="20">
                  <c:v>5.2575626391700202E-3</c:v>
                </c:pt>
                <c:pt idx="21">
                  <c:v>6.0685304880018455E-3</c:v>
                </c:pt>
                <c:pt idx="22">
                  <c:v>6.9874559269796216E-3</c:v>
                </c:pt>
                <c:pt idx="23">
                  <c:v>8.0265547896845937E-3</c:v>
                </c:pt>
                <c:pt idx="24">
                  <c:v>9.1992348511295563E-3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B985-4ED4-BD59-4D1CB78FF301}"/>
            </c:ext>
          </c:extLst>
        </c:ser>
        <c:ser>
          <c:idx val="9"/>
          <c:order val="9"/>
          <c:tx>
            <c:strRef>
              <c:f>'chart data'!$K$2</c:f>
              <c:strCache>
                <c:ptCount val="1"/>
                <c:pt idx="0">
                  <c:v>10 %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'chart data'!$A$3:$A$31</c:f>
              <c:numCache>
                <c:formatCode>General</c:formatCode>
                <c:ptCount val="29"/>
                <c:pt idx="0">
                  <c:v>-20</c:v>
                </c:pt>
                <c:pt idx="1">
                  <c:v>-17.5</c:v>
                </c:pt>
                <c:pt idx="2">
                  <c:v>-15</c:v>
                </c:pt>
                <c:pt idx="3">
                  <c:v>-12.5</c:v>
                </c:pt>
                <c:pt idx="4">
                  <c:v>-10</c:v>
                </c:pt>
                <c:pt idx="5">
                  <c:v>-7.5</c:v>
                </c:pt>
                <c:pt idx="6">
                  <c:v>-5</c:v>
                </c:pt>
                <c:pt idx="7">
                  <c:v>-2.5</c:v>
                </c:pt>
                <c:pt idx="8">
                  <c:v>0</c:v>
                </c:pt>
                <c:pt idx="9">
                  <c:v>2.5</c:v>
                </c:pt>
                <c:pt idx="10">
                  <c:v>5</c:v>
                </c:pt>
                <c:pt idx="11">
                  <c:v>7.5</c:v>
                </c:pt>
                <c:pt idx="12">
                  <c:v>10</c:v>
                </c:pt>
                <c:pt idx="13">
                  <c:v>12.5</c:v>
                </c:pt>
                <c:pt idx="14">
                  <c:v>15</c:v>
                </c:pt>
                <c:pt idx="15">
                  <c:v>17.5</c:v>
                </c:pt>
                <c:pt idx="16">
                  <c:v>20</c:v>
                </c:pt>
                <c:pt idx="17">
                  <c:v>22.5</c:v>
                </c:pt>
                <c:pt idx="18">
                  <c:v>25</c:v>
                </c:pt>
                <c:pt idx="19">
                  <c:v>27.5</c:v>
                </c:pt>
                <c:pt idx="20">
                  <c:v>30</c:v>
                </c:pt>
                <c:pt idx="21">
                  <c:v>32.5</c:v>
                </c:pt>
                <c:pt idx="22">
                  <c:v>35</c:v>
                </c:pt>
                <c:pt idx="23">
                  <c:v>37.5</c:v>
                </c:pt>
                <c:pt idx="24">
                  <c:v>40</c:v>
                </c:pt>
                <c:pt idx="25">
                  <c:v>0</c:v>
                </c:pt>
                <c:pt idx="26">
                  <c:v>20</c:v>
                </c:pt>
                <c:pt idx="27">
                  <c:v>30</c:v>
                </c:pt>
                <c:pt idx="28">
                  <c:v>28</c:v>
                </c:pt>
              </c:numCache>
            </c:numRef>
          </c:xVal>
          <c:yVal>
            <c:numRef>
              <c:f>'chart data'!$K$3:$K$31</c:f>
              <c:numCache>
                <c:formatCode>General</c:formatCode>
                <c:ptCount val="29"/>
                <c:pt idx="0">
                  <c:v>7.7045507171811945E-5</c:v>
                </c:pt>
                <c:pt idx="1">
                  <c:v>9.5345793546093517E-5</c:v>
                </c:pt>
                <c:pt idx="2">
                  <c:v>1.1745060582955212E-4</c:v>
                </c:pt>
                <c:pt idx="3">
                  <c:v>1.4403631611524528E-4</c:v>
                </c:pt>
                <c:pt idx="4">
                  <c:v>1.7587799046041237E-4</c:v>
                </c:pt>
                <c:pt idx="5">
                  <c:v>2.1386035016284055E-4</c:v>
                </c:pt>
                <c:pt idx="6">
                  <c:v>2.5898952531683186E-4</c:v>
                </c:pt>
                <c:pt idx="7">
                  <c:v>3.1240562259541682E-4</c:v>
                </c:pt>
                <c:pt idx="8">
                  <c:v>3.753961295148864E-4</c:v>
                </c:pt>
                <c:pt idx="9">
                  <c:v>4.4941017859158805E-4</c:v>
                </c:pt>
                <c:pt idx="10">
                  <c:v>5.3607369697012547E-4</c:v>
                </c:pt>
                <c:pt idx="11">
                  <c:v>6.3720547047518871E-4</c:v>
                </c:pt>
                <c:pt idx="12">
                  <c:v>7.5483415582613359E-4</c:v>
                </c:pt>
                <c:pt idx="13">
                  <c:v>8.9121628118592178E-4</c:v>
                </c:pt>
                <c:pt idx="14">
                  <c:v>1.0488552835504414E-3</c:v>
                </c:pt>
                <c:pt idx="15">
                  <c:v>1.2305216420046535E-3</c:v>
                </c:pt>
                <c:pt idx="16">
                  <c:v>1.4392741788909625E-3</c:v>
                </c:pt>
                <c:pt idx="17">
                  <c:v>1.678482616802753E-3</c:v>
                </c:pt>
                <c:pt idx="18">
                  <c:v>1.9518514984223816E-3</c:v>
                </c:pt>
                <c:pt idx="19">
                  <c:v>2.2634455990082334E-3</c:v>
                </c:pt>
                <c:pt idx="20">
                  <c:v>2.617716988303606E-3</c:v>
                </c:pt>
                <c:pt idx="21">
                  <c:v>3.0195339303670894E-3</c:v>
                </c:pt>
                <c:pt idx="22">
                  <c:v>3.4742118469828984E-3</c:v>
                </c:pt>
                <c:pt idx="23">
                  <c:v>3.9875466136870654E-3</c:v>
                </c:pt>
                <c:pt idx="24">
                  <c:v>4.5658505079771853E-3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B985-4ED4-BD59-4D1CB78FF301}"/>
            </c:ext>
          </c:extLst>
        </c:ser>
        <c:ser>
          <c:idx val="10"/>
          <c:order val="10"/>
          <c:tx>
            <c:strRef>
              <c:f>'chart data'!$L$2</c:f>
              <c:strCache>
                <c:ptCount val="1"/>
                <c:pt idx="0">
                  <c:v>Point 1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</c:spPr>
          </c:marker>
          <c:xVal>
            <c:numRef>
              <c:f>'chart data'!$A$3:$A$31</c:f>
              <c:numCache>
                <c:formatCode>General</c:formatCode>
                <c:ptCount val="29"/>
                <c:pt idx="0">
                  <c:v>-20</c:v>
                </c:pt>
                <c:pt idx="1">
                  <c:v>-17.5</c:v>
                </c:pt>
                <c:pt idx="2">
                  <c:v>-15</c:v>
                </c:pt>
                <c:pt idx="3">
                  <c:v>-12.5</c:v>
                </c:pt>
                <c:pt idx="4">
                  <c:v>-10</c:v>
                </c:pt>
                <c:pt idx="5">
                  <c:v>-7.5</c:v>
                </c:pt>
                <c:pt idx="6">
                  <c:v>-5</c:v>
                </c:pt>
                <c:pt idx="7">
                  <c:v>-2.5</c:v>
                </c:pt>
                <c:pt idx="8">
                  <c:v>0</c:v>
                </c:pt>
                <c:pt idx="9">
                  <c:v>2.5</c:v>
                </c:pt>
                <c:pt idx="10">
                  <c:v>5</c:v>
                </c:pt>
                <c:pt idx="11">
                  <c:v>7.5</c:v>
                </c:pt>
                <c:pt idx="12">
                  <c:v>10</c:v>
                </c:pt>
                <c:pt idx="13">
                  <c:v>12.5</c:v>
                </c:pt>
                <c:pt idx="14">
                  <c:v>15</c:v>
                </c:pt>
                <c:pt idx="15">
                  <c:v>17.5</c:v>
                </c:pt>
                <c:pt idx="16">
                  <c:v>20</c:v>
                </c:pt>
                <c:pt idx="17">
                  <c:v>22.5</c:v>
                </c:pt>
                <c:pt idx="18">
                  <c:v>25</c:v>
                </c:pt>
                <c:pt idx="19">
                  <c:v>27.5</c:v>
                </c:pt>
                <c:pt idx="20">
                  <c:v>30</c:v>
                </c:pt>
                <c:pt idx="21">
                  <c:v>32.5</c:v>
                </c:pt>
                <c:pt idx="22">
                  <c:v>35</c:v>
                </c:pt>
                <c:pt idx="23">
                  <c:v>37.5</c:v>
                </c:pt>
                <c:pt idx="24">
                  <c:v>40</c:v>
                </c:pt>
                <c:pt idx="25">
                  <c:v>0</c:v>
                </c:pt>
                <c:pt idx="26">
                  <c:v>20</c:v>
                </c:pt>
                <c:pt idx="27">
                  <c:v>30</c:v>
                </c:pt>
                <c:pt idx="28">
                  <c:v>28</c:v>
                </c:pt>
              </c:numCache>
            </c:numRef>
          </c:xVal>
          <c:yVal>
            <c:numRef>
              <c:f>'chart data'!$L$3:$L$31</c:f>
              <c:numCache>
                <c:formatCode>General</c:formatCode>
                <c:ptCount val="29"/>
                <c:pt idx="25">
                  <c:v>3.0159115304044574E-3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B985-4ED4-BD59-4D1CB78FF301}"/>
            </c:ext>
          </c:extLst>
        </c:ser>
        <c:ser>
          <c:idx val="11"/>
          <c:order val="11"/>
          <c:tx>
            <c:strRef>
              <c:f>'chart data'!$M$2</c:f>
              <c:strCache>
                <c:ptCount val="1"/>
                <c:pt idx="0">
                  <c:v>Point 2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6"/>
            <c:spPr>
              <a:solidFill>
                <a:srgbClr val="99CC00"/>
              </a:solidFill>
              <a:ln w="9525">
                <a:noFill/>
              </a:ln>
            </c:spPr>
          </c:marker>
          <c:xVal>
            <c:numRef>
              <c:f>'chart data'!$A$3:$A$31</c:f>
              <c:numCache>
                <c:formatCode>General</c:formatCode>
                <c:ptCount val="29"/>
                <c:pt idx="0">
                  <c:v>-20</c:v>
                </c:pt>
                <c:pt idx="1">
                  <c:v>-17.5</c:v>
                </c:pt>
                <c:pt idx="2">
                  <c:v>-15</c:v>
                </c:pt>
                <c:pt idx="3">
                  <c:v>-12.5</c:v>
                </c:pt>
                <c:pt idx="4">
                  <c:v>-10</c:v>
                </c:pt>
                <c:pt idx="5">
                  <c:v>-7.5</c:v>
                </c:pt>
                <c:pt idx="6">
                  <c:v>-5</c:v>
                </c:pt>
                <c:pt idx="7">
                  <c:v>-2.5</c:v>
                </c:pt>
                <c:pt idx="8">
                  <c:v>0</c:v>
                </c:pt>
                <c:pt idx="9">
                  <c:v>2.5</c:v>
                </c:pt>
                <c:pt idx="10">
                  <c:v>5</c:v>
                </c:pt>
                <c:pt idx="11">
                  <c:v>7.5</c:v>
                </c:pt>
                <c:pt idx="12">
                  <c:v>10</c:v>
                </c:pt>
                <c:pt idx="13">
                  <c:v>12.5</c:v>
                </c:pt>
                <c:pt idx="14">
                  <c:v>15</c:v>
                </c:pt>
                <c:pt idx="15">
                  <c:v>17.5</c:v>
                </c:pt>
                <c:pt idx="16">
                  <c:v>20</c:v>
                </c:pt>
                <c:pt idx="17">
                  <c:v>22.5</c:v>
                </c:pt>
                <c:pt idx="18">
                  <c:v>25</c:v>
                </c:pt>
                <c:pt idx="19">
                  <c:v>27.5</c:v>
                </c:pt>
                <c:pt idx="20">
                  <c:v>30</c:v>
                </c:pt>
                <c:pt idx="21">
                  <c:v>32.5</c:v>
                </c:pt>
                <c:pt idx="22">
                  <c:v>35</c:v>
                </c:pt>
                <c:pt idx="23">
                  <c:v>37.5</c:v>
                </c:pt>
                <c:pt idx="24">
                  <c:v>40</c:v>
                </c:pt>
                <c:pt idx="25">
                  <c:v>0</c:v>
                </c:pt>
                <c:pt idx="26">
                  <c:v>20</c:v>
                </c:pt>
                <c:pt idx="27">
                  <c:v>30</c:v>
                </c:pt>
                <c:pt idx="28">
                  <c:v>28</c:v>
                </c:pt>
              </c:numCache>
            </c:numRef>
          </c:xVal>
          <c:yVal>
            <c:numRef>
              <c:f>'chart data'!$M$3:$M$31</c:f>
              <c:numCache>
                <c:formatCode>General</c:formatCode>
                <c:ptCount val="29"/>
                <c:pt idx="26">
                  <c:v>5.7975207178693009E-3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B985-4ED4-BD59-4D1CB78FF301}"/>
            </c:ext>
          </c:extLst>
        </c:ser>
        <c:ser>
          <c:idx val="12"/>
          <c:order val="12"/>
          <c:tx>
            <c:strRef>
              <c:f>'chart data'!$N$2</c:f>
              <c:strCache>
                <c:ptCount val="1"/>
                <c:pt idx="0">
                  <c:v>Point 3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</c:spPr>
          </c:marker>
          <c:xVal>
            <c:numRef>
              <c:f>'chart data'!$A$3:$A$31</c:f>
              <c:numCache>
                <c:formatCode>General</c:formatCode>
                <c:ptCount val="29"/>
                <c:pt idx="0">
                  <c:v>-20</c:v>
                </c:pt>
                <c:pt idx="1">
                  <c:v>-17.5</c:v>
                </c:pt>
                <c:pt idx="2">
                  <c:v>-15</c:v>
                </c:pt>
                <c:pt idx="3">
                  <c:v>-12.5</c:v>
                </c:pt>
                <c:pt idx="4">
                  <c:v>-10</c:v>
                </c:pt>
                <c:pt idx="5">
                  <c:v>-7.5</c:v>
                </c:pt>
                <c:pt idx="6">
                  <c:v>-5</c:v>
                </c:pt>
                <c:pt idx="7">
                  <c:v>-2.5</c:v>
                </c:pt>
                <c:pt idx="8">
                  <c:v>0</c:v>
                </c:pt>
                <c:pt idx="9">
                  <c:v>2.5</c:v>
                </c:pt>
                <c:pt idx="10">
                  <c:v>5</c:v>
                </c:pt>
                <c:pt idx="11">
                  <c:v>7.5</c:v>
                </c:pt>
                <c:pt idx="12">
                  <c:v>10</c:v>
                </c:pt>
                <c:pt idx="13">
                  <c:v>12.5</c:v>
                </c:pt>
                <c:pt idx="14">
                  <c:v>15</c:v>
                </c:pt>
                <c:pt idx="15">
                  <c:v>17.5</c:v>
                </c:pt>
                <c:pt idx="16">
                  <c:v>20</c:v>
                </c:pt>
                <c:pt idx="17">
                  <c:v>22.5</c:v>
                </c:pt>
                <c:pt idx="18">
                  <c:v>25</c:v>
                </c:pt>
                <c:pt idx="19">
                  <c:v>27.5</c:v>
                </c:pt>
                <c:pt idx="20">
                  <c:v>30</c:v>
                </c:pt>
                <c:pt idx="21">
                  <c:v>32.5</c:v>
                </c:pt>
                <c:pt idx="22">
                  <c:v>35</c:v>
                </c:pt>
                <c:pt idx="23">
                  <c:v>37.5</c:v>
                </c:pt>
                <c:pt idx="24">
                  <c:v>40</c:v>
                </c:pt>
                <c:pt idx="25">
                  <c:v>0</c:v>
                </c:pt>
                <c:pt idx="26">
                  <c:v>20</c:v>
                </c:pt>
                <c:pt idx="27">
                  <c:v>30</c:v>
                </c:pt>
                <c:pt idx="28">
                  <c:v>28</c:v>
                </c:pt>
              </c:numCache>
            </c:numRef>
          </c:xVal>
          <c:yVal>
            <c:numRef>
              <c:f>'chart data'!$N$3:$N$31</c:f>
              <c:numCache>
                <c:formatCode>General</c:formatCode>
                <c:ptCount val="29"/>
                <c:pt idx="27">
                  <c:v>1.3312713547184997E-2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B985-4ED4-BD59-4D1CB78FF301}"/>
            </c:ext>
          </c:extLst>
        </c:ser>
        <c:ser>
          <c:idx val="13"/>
          <c:order val="13"/>
          <c:tx>
            <c:strRef>
              <c:f>'chart data'!$O$2</c:f>
              <c:strCache>
                <c:ptCount val="1"/>
                <c:pt idx="0">
                  <c:v>Point 4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6"/>
            <c:spPr>
              <a:solidFill>
                <a:srgbClr val="FFCC00"/>
              </a:solidFill>
              <a:ln w="9525">
                <a:noFill/>
              </a:ln>
            </c:spPr>
          </c:marker>
          <c:xVal>
            <c:numRef>
              <c:f>'chart data'!$A$3:$A$31</c:f>
              <c:numCache>
                <c:formatCode>General</c:formatCode>
                <c:ptCount val="29"/>
                <c:pt idx="0">
                  <c:v>-20</c:v>
                </c:pt>
                <c:pt idx="1">
                  <c:v>-17.5</c:v>
                </c:pt>
                <c:pt idx="2">
                  <c:v>-15</c:v>
                </c:pt>
                <c:pt idx="3">
                  <c:v>-12.5</c:v>
                </c:pt>
                <c:pt idx="4">
                  <c:v>-10</c:v>
                </c:pt>
                <c:pt idx="5">
                  <c:v>-7.5</c:v>
                </c:pt>
                <c:pt idx="6">
                  <c:v>-5</c:v>
                </c:pt>
                <c:pt idx="7">
                  <c:v>-2.5</c:v>
                </c:pt>
                <c:pt idx="8">
                  <c:v>0</c:v>
                </c:pt>
                <c:pt idx="9">
                  <c:v>2.5</c:v>
                </c:pt>
                <c:pt idx="10">
                  <c:v>5</c:v>
                </c:pt>
                <c:pt idx="11">
                  <c:v>7.5</c:v>
                </c:pt>
                <c:pt idx="12">
                  <c:v>10</c:v>
                </c:pt>
                <c:pt idx="13">
                  <c:v>12.5</c:v>
                </c:pt>
                <c:pt idx="14">
                  <c:v>15</c:v>
                </c:pt>
                <c:pt idx="15">
                  <c:v>17.5</c:v>
                </c:pt>
                <c:pt idx="16">
                  <c:v>20</c:v>
                </c:pt>
                <c:pt idx="17">
                  <c:v>22.5</c:v>
                </c:pt>
                <c:pt idx="18">
                  <c:v>25</c:v>
                </c:pt>
                <c:pt idx="19">
                  <c:v>27.5</c:v>
                </c:pt>
                <c:pt idx="20">
                  <c:v>30</c:v>
                </c:pt>
                <c:pt idx="21">
                  <c:v>32.5</c:v>
                </c:pt>
                <c:pt idx="22">
                  <c:v>35</c:v>
                </c:pt>
                <c:pt idx="23">
                  <c:v>37.5</c:v>
                </c:pt>
                <c:pt idx="24">
                  <c:v>40</c:v>
                </c:pt>
                <c:pt idx="25">
                  <c:v>0</c:v>
                </c:pt>
                <c:pt idx="26">
                  <c:v>20</c:v>
                </c:pt>
                <c:pt idx="27">
                  <c:v>30</c:v>
                </c:pt>
                <c:pt idx="28">
                  <c:v>28</c:v>
                </c:pt>
              </c:numCache>
            </c:numRef>
          </c:xVal>
          <c:yVal>
            <c:numRef>
              <c:f>'chart data'!$O$3:$O$31</c:f>
              <c:numCache>
                <c:formatCode>General</c:formatCode>
                <c:ptCount val="29"/>
                <c:pt idx="28">
                  <c:v>1.6690438905297821E-2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B985-4ED4-BD59-4D1CB78FF3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894720"/>
        <c:axId val="218897024"/>
      </c:scatterChart>
      <c:valAx>
        <c:axId val="218894720"/>
        <c:scaling>
          <c:orientation val="minMax"/>
          <c:max val="40"/>
          <c:min val="-2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minorGridlines>
          <c:spPr>
            <a:ln w="3175">
              <a:solidFill>
                <a:srgbClr val="C0C0C0"/>
              </a:solidFill>
              <a:prstDash val="sysDash"/>
            </a:ln>
          </c:spPr>
        </c:min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b-NO"/>
                  <a:t>dry bulb tempersture  [°C]</a:t>
                </a:r>
              </a:p>
            </c:rich>
          </c:tx>
          <c:layout>
            <c:manualLayout>
              <c:xMode val="edge"/>
              <c:yMode val="edge"/>
              <c:x val="0.39852398523985261"/>
              <c:y val="0.9486699999002025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b-NO"/>
          </a:p>
        </c:txPr>
        <c:crossAx val="218897024"/>
        <c:crossesAt val="-20"/>
        <c:crossBetween val="midCat"/>
      </c:valAx>
      <c:valAx>
        <c:axId val="218897024"/>
        <c:scaling>
          <c:orientation val="minMax"/>
          <c:max val="2.5000000000000001E-2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minorGridlines>
          <c:spPr>
            <a:ln w="3175">
              <a:solidFill>
                <a:srgbClr val="C0C0C0"/>
              </a:solidFill>
              <a:prstDash val="sysDash"/>
            </a:ln>
          </c:spPr>
        </c:min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b-NO"/>
                  <a:t>humidity ratio  [kg/kg]</a:t>
                </a:r>
              </a:p>
            </c:rich>
          </c:tx>
          <c:layout>
            <c:manualLayout>
              <c:xMode val="edge"/>
              <c:yMode val="edge"/>
              <c:x val="9.2250922509225109E-3"/>
              <c:y val="0.3212929752602218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b-NO"/>
          </a:p>
        </c:txPr>
        <c:crossAx val="218894720"/>
        <c:crossesAt val="-20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20479704797047973"/>
          <c:y val="6.273764258555134E-2"/>
          <c:w val="0.14760147601476017"/>
          <c:h val="0.5608371006856081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b-NO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b-NO"/>
    </a:p>
  </c:txPr>
  <c:printSettings>
    <c:headerFooter alignWithMargins="0"/>
    <c:pageMargins b="1" l="0.75000000000000011" r="0.75000000000000011" t="1" header="0.5" footer="0.5"/>
    <c:pageSetup paperSize="9" orientation="landscape" verticalDpi="0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342900</xdr:colOff>
      <xdr:row>0</xdr:row>
      <xdr:rowOff>0</xdr:rowOff>
    </xdr:from>
    <xdr:to>
      <xdr:col>7</xdr:col>
      <xdr:colOff>609600</xdr:colOff>
      <xdr:row>0</xdr:row>
      <xdr:rowOff>0</xdr:rowOff>
    </xdr:to>
    <xdr:graphicFrame macro="">
      <xdr:nvGraphicFramePr>
        <xdr:cNvPr id="1118" name="Chart 1">
          <a:extLst>
            <a:ext uri="{FF2B5EF4-FFF2-40B4-BE49-F238E27FC236}">
              <a16:creationId xmlns:a16="http://schemas.microsoft.com/office/drawing/2014/main" id="{00000000-0008-0000-0000-00005E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409575</xdr:colOff>
      <xdr:row>3</xdr:row>
      <xdr:rowOff>104775</xdr:rowOff>
    </xdr:from>
    <xdr:to>
      <xdr:col>11</xdr:col>
      <xdr:colOff>161925</xdr:colOff>
      <xdr:row>35</xdr:row>
      <xdr:rowOff>66675</xdr:rowOff>
    </xdr:to>
    <xdr:graphicFrame macro="">
      <xdr:nvGraphicFramePr>
        <xdr:cNvPr id="1119" name="Chart 84">
          <a:extLst>
            <a:ext uri="{FF2B5EF4-FFF2-40B4-BE49-F238E27FC236}">
              <a16:creationId xmlns:a16="http://schemas.microsoft.com/office/drawing/2014/main" id="{00000000-0008-0000-0000-00005F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1">
    <tabColor indexed="40"/>
  </sheetPr>
  <dimension ref="A1:Y804"/>
  <sheetViews>
    <sheetView tabSelected="1" workbookViewId="0">
      <pane ySplit="1" topLeftCell="A2" activePane="bottomLeft" state="frozen"/>
      <selection pane="bottomLeft" activeCell="M6" sqref="M6"/>
    </sheetView>
  </sheetViews>
  <sheetFormatPr defaultColWidth="11.42578125" defaultRowHeight="12.75" x14ac:dyDescent="0.2"/>
  <cols>
    <col min="1" max="1" width="17.5703125" style="20" customWidth="1"/>
    <col min="2" max="2" width="12.42578125" style="20" customWidth="1"/>
    <col min="3" max="3" width="7" style="28" customWidth="1"/>
    <col min="4" max="4" width="9.7109375" style="20" customWidth="1"/>
    <col min="5" max="6" width="12" style="20" customWidth="1"/>
    <col min="7" max="18" width="11.42578125" style="20" customWidth="1"/>
    <col min="19" max="20" width="11.42578125" style="13" customWidth="1"/>
    <col min="21" max="22" width="11.42578125" style="8" customWidth="1"/>
    <col min="23" max="16384" width="11.42578125" style="20"/>
  </cols>
  <sheetData>
    <row r="1" spans="1:25" s="33" customFormat="1" ht="15.75" x14ac:dyDescent="0.25">
      <c r="A1" s="32" t="s">
        <v>22</v>
      </c>
      <c r="C1" s="34"/>
      <c r="U1" s="35"/>
      <c r="V1" s="35"/>
    </row>
    <row r="2" spans="1:25" s="12" customFormat="1" x14ac:dyDescent="0.2">
      <c r="A2" s="9" t="s">
        <v>5</v>
      </c>
      <c r="B2" s="1">
        <v>0</v>
      </c>
      <c r="C2" s="9" t="s">
        <v>1</v>
      </c>
      <c r="D2" s="11" t="s">
        <v>20</v>
      </c>
      <c r="S2" s="13"/>
      <c r="T2" s="13"/>
      <c r="U2" s="8"/>
      <c r="V2" s="8"/>
    </row>
    <row r="3" spans="1:25" s="12" customFormat="1" x14ac:dyDescent="0.2">
      <c r="A3" s="9" t="s">
        <v>19</v>
      </c>
      <c r="B3" s="1">
        <v>101325</v>
      </c>
      <c r="C3" s="9" t="s">
        <v>0</v>
      </c>
      <c r="D3" s="14" t="str">
        <f>IF(ABS(B3/101325-1)&gt;0.1,"Patm Wrong!?","OK Patm")</f>
        <v>OK Patm</v>
      </c>
      <c r="S3" s="13"/>
      <c r="T3" s="13"/>
      <c r="U3" s="8"/>
      <c r="V3" s="8"/>
    </row>
    <row r="4" spans="1:25" s="12" customFormat="1" x14ac:dyDescent="0.2">
      <c r="A4" s="9" t="s">
        <v>6</v>
      </c>
      <c r="B4" s="2">
        <v>0.8</v>
      </c>
      <c r="C4" s="9"/>
      <c r="S4" s="13"/>
      <c r="T4" s="13"/>
      <c r="U4" s="8"/>
      <c r="V4" s="8"/>
    </row>
    <row r="5" spans="1:25" s="18" customFormat="1" x14ac:dyDescent="0.2">
      <c r="A5" s="15" t="s">
        <v>12</v>
      </c>
      <c r="B5" s="16">
        <f>HumidRatio1_air(B2+273.15,B3,B4)</f>
        <v>3.0159115304044574E-3</v>
      </c>
      <c r="C5" s="15" t="s">
        <v>4</v>
      </c>
      <c r="D5" s="17" t="s">
        <v>21</v>
      </c>
      <c r="M5" s="12"/>
      <c r="N5" s="12"/>
      <c r="O5" s="12"/>
      <c r="P5" s="12"/>
      <c r="Q5" s="12"/>
      <c r="R5" s="12"/>
      <c r="S5" s="13"/>
      <c r="T5" s="13"/>
      <c r="U5" s="8"/>
      <c r="V5" s="8"/>
      <c r="W5" s="12"/>
      <c r="X5" s="12"/>
      <c r="Y5" s="12"/>
    </row>
    <row r="6" spans="1:25" s="18" customFormat="1" x14ac:dyDescent="0.2">
      <c r="A6" s="15" t="s">
        <v>15</v>
      </c>
      <c r="B6" s="16">
        <f>Tdew2_air(B3,B5)-273.15</f>
        <v>-3.0320915093794838</v>
      </c>
      <c r="C6" s="15" t="s">
        <v>1</v>
      </c>
      <c r="M6" s="12"/>
      <c r="N6" s="12"/>
      <c r="O6" s="12"/>
      <c r="P6" s="12"/>
      <c r="Q6" s="12"/>
      <c r="R6" s="12"/>
      <c r="S6" s="13"/>
      <c r="T6" s="13"/>
      <c r="U6" s="8"/>
      <c r="V6" s="8"/>
      <c r="W6" s="12"/>
      <c r="X6" s="12"/>
      <c r="Y6" s="12"/>
    </row>
    <row r="7" spans="1:25" s="18" customFormat="1" x14ac:dyDescent="0.2">
      <c r="A7" s="15" t="s">
        <v>10</v>
      </c>
      <c r="B7" s="16">
        <f>Enth_air(B2+273.15,B5)</f>
        <v>7542.7947375415479</v>
      </c>
      <c r="C7" s="15" t="s">
        <v>3</v>
      </c>
      <c r="M7" s="12"/>
      <c r="N7" s="12"/>
      <c r="O7" s="12"/>
      <c r="P7" s="12"/>
      <c r="Q7" s="12"/>
      <c r="R7" s="12"/>
      <c r="S7" s="13"/>
      <c r="T7" s="13"/>
      <c r="U7" s="8"/>
      <c r="V7" s="8"/>
      <c r="W7" s="12"/>
      <c r="X7" s="12"/>
      <c r="Y7" s="12"/>
    </row>
    <row r="8" spans="1:25" s="18" customFormat="1" x14ac:dyDescent="0.2">
      <c r="A8" s="15" t="s">
        <v>11</v>
      </c>
      <c r="B8" s="18">
        <f>Dens1_air(B2+273.15,B3,B4)</f>
        <v>1.2899619795772759</v>
      </c>
      <c r="C8" s="15" t="s">
        <v>2</v>
      </c>
      <c r="M8" s="12"/>
      <c r="N8" s="12"/>
      <c r="O8" s="12"/>
      <c r="P8" s="12"/>
      <c r="Q8" s="12"/>
      <c r="R8" s="12"/>
      <c r="S8" s="13"/>
      <c r="T8" s="13"/>
      <c r="U8" s="8"/>
      <c r="V8" s="8"/>
      <c r="W8" s="12"/>
      <c r="X8" s="12"/>
      <c r="Y8" s="12"/>
    </row>
    <row r="9" spans="1:25" s="18" customFormat="1" x14ac:dyDescent="0.2">
      <c r="A9" s="15" t="s">
        <v>27</v>
      </c>
      <c r="B9" s="18">
        <f>cp_air(273.15+B2,B5)</f>
        <v>1011.2035636234915</v>
      </c>
      <c r="C9" s="15" t="s">
        <v>28</v>
      </c>
      <c r="M9" s="12"/>
      <c r="N9" s="12"/>
      <c r="O9" s="12"/>
      <c r="P9" s="12"/>
      <c r="Q9" s="12"/>
      <c r="R9" s="12"/>
      <c r="S9" s="13"/>
      <c r="T9" s="13"/>
      <c r="U9" s="8"/>
      <c r="V9" s="8"/>
      <c r="W9" s="12"/>
      <c r="X9" s="12"/>
      <c r="Y9" s="12"/>
    </row>
    <row r="10" spans="1:25" s="18" customFormat="1" x14ac:dyDescent="0.2">
      <c r="A10" s="15" t="s">
        <v>37</v>
      </c>
      <c r="B10" s="18">
        <f>Twet_K(273.15+B2,273.15+B6,B3)-273.15</f>
        <v>-0.88405158327054778</v>
      </c>
      <c r="C10" s="15" t="s">
        <v>38</v>
      </c>
      <c r="M10" s="12"/>
      <c r="N10" s="12"/>
      <c r="O10" s="12"/>
      <c r="P10" s="12"/>
      <c r="Q10" s="12"/>
      <c r="R10" s="12"/>
      <c r="S10" s="13"/>
      <c r="T10" s="13"/>
      <c r="U10" s="8"/>
      <c r="V10" s="8"/>
      <c r="W10" s="12"/>
      <c r="X10" s="12"/>
      <c r="Y10" s="12"/>
    </row>
    <row r="11" spans="1:25" ht="13.5" thickBot="1" x14ac:dyDescent="0.25">
      <c r="A11" s="19"/>
      <c r="B11" s="19"/>
      <c r="C11" s="19"/>
      <c r="M11" s="12"/>
      <c r="N11" s="12"/>
      <c r="O11" s="12"/>
      <c r="P11" s="12"/>
      <c r="Q11" s="12"/>
      <c r="R11" s="12"/>
      <c r="W11" s="12"/>
      <c r="X11" s="12"/>
    </row>
    <row r="12" spans="1:25" s="12" customFormat="1" x14ac:dyDescent="0.2">
      <c r="A12" s="9" t="s">
        <v>5</v>
      </c>
      <c r="B12" s="1">
        <v>20</v>
      </c>
      <c r="C12" s="9" t="s">
        <v>1</v>
      </c>
      <c r="S12" s="13"/>
      <c r="T12" s="13"/>
      <c r="U12" s="8"/>
      <c r="V12" s="8"/>
    </row>
    <row r="13" spans="1:25" s="12" customFormat="1" x14ac:dyDescent="0.2">
      <c r="A13" s="9" t="s">
        <v>19</v>
      </c>
      <c r="B13" s="1">
        <v>101325</v>
      </c>
      <c r="C13" s="9" t="s">
        <v>0</v>
      </c>
      <c r="D13" s="14" t="str">
        <f>IF(ABS(B13/101325-1)&gt;0.1,"Patm Wrong!?","OK Patm")</f>
        <v>OK Patm</v>
      </c>
      <c r="S13" s="13"/>
      <c r="T13" s="13"/>
      <c r="U13" s="8"/>
      <c r="V13" s="8"/>
    </row>
    <row r="14" spans="1:25" s="12" customFormat="1" x14ac:dyDescent="0.2">
      <c r="A14" s="9" t="s">
        <v>7</v>
      </c>
      <c r="B14" s="3">
        <v>12.355</v>
      </c>
      <c r="C14" s="9" t="s">
        <v>1</v>
      </c>
      <c r="S14" s="13"/>
      <c r="T14" s="13"/>
      <c r="U14" s="8"/>
      <c r="V14" s="8"/>
    </row>
    <row r="15" spans="1:25" s="18" customFormat="1" x14ac:dyDescent="0.2">
      <c r="A15" s="15" t="s">
        <v>12</v>
      </c>
      <c r="B15" s="16">
        <f>HumidRatio3_air(B12+273.15,B13,B14+273.15)</f>
        <v>5.7975207178693009E-3</v>
      </c>
      <c r="C15" s="15" t="s">
        <v>4</v>
      </c>
      <c r="M15" s="12"/>
      <c r="N15" s="12"/>
      <c r="O15" s="12"/>
      <c r="P15" s="12"/>
      <c r="Q15" s="12"/>
      <c r="R15" s="12"/>
      <c r="S15" s="13"/>
      <c r="T15" s="13"/>
      <c r="U15" s="8"/>
      <c r="V15" s="8"/>
      <c r="W15" s="12"/>
      <c r="X15" s="12"/>
    </row>
    <row r="16" spans="1:25" s="18" customFormat="1" x14ac:dyDescent="0.2">
      <c r="A16" s="15" t="s">
        <v>9</v>
      </c>
      <c r="B16" s="21">
        <f>RH2_air(B12+273.15,B13,B15)</f>
        <v>0.40001204662670459</v>
      </c>
      <c r="C16" s="15"/>
      <c r="M16" s="12"/>
      <c r="N16" s="12"/>
      <c r="O16" s="12"/>
      <c r="P16" s="12"/>
      <c r="Q16" s="12"/>
      <c r="R16" s="12"/>
      <c r="S16" s="13"/>
      <c r="T16" s="13"/>
      <c r="U16" s="8"/>
      <c r="V16" s="8"/>
      <c r="W16" s="12"/>
      <c r="X16" s="12"/>
    </row>
    <row r="17" spans="1:24" s="18" customFormat="1" x14ac:dyDescent="0.2">
      <c r="A17" s="15" t="s">
        <v>16</v>
      </c>
      <c r="B17" s="16">
        <f>Tdew2_air(B13,B15)-273.15</f>
        <v>6.0062093163725763</v>
      </c>
      <c r="C17" s="15" t="s">
        <v>1</v>
      </c>
      <c r="M17" s="12"/>
      <c r="N17" s="12"/>
      <c r="O17" s="12"/>
      <c r="P17" s="12"/>
      <c r="Q17" s="12"/>
      <c r="R17" s="12"/>
      <c r="S17" s="13"/>
      <c r="T17" s="13"/>
      <c r="U17" s="8"/>
      <c r="V17" s="8"/>
      <c r="W17" s="12"/>
      <c r="X17" s="12"/>
    </row>
    <row r="18" spans="1:24" s="18" customFormat="1" x14ac:dyDescent="0.2">
      <c r="A18" s="15" t="s">
        <v>17</v>
      </c>
      <c r="B18" s="16">
        <f>Enth_air(B12+273.15,B15)</f>
        <v>34837.960833713158</v>
      </c>
      <c r="C18" s="15" t="s">
        <v>3</v>
      </c>
      <c r="M18" s="12"/>
      <c r="N18" s="12"/>
      <c r="O18" s="12"/>
      <c r="P18" s="12"/>
      <c r="Q18" s="12"/>
      <c r="R18" s="12"/>
      <c r="S18" s="13"/>
      <c r="T18" s="13"/>
      <c r="U18" s="8"/>
      <c r="V18" s="8"/>
      <c r="W18" s="12"/>
      <c r="X18" s="12"/>
    </row>
    <row r="19" spans="1:24" s="18" customFormat="1" x14ac:dyDescent="0.2">
      <c r="A19" s="15" t="s">
        <v>18</v>
      </c>
      <c r="B19" s="18">
        <f>Dens2_air(B12+273.15,B13,B15)</f>
        <v>1.1999475520032195</v>
      </c>
      <c r="C19" s="15" t="s">
        <v>2</v>
      </c>
      <c r="M19" s="12"/>
      <c r="N19" s="12"/>
      <c r="O19" s="12"/>
      <c r="P19" s="12"/>
      <c r="Q19" s="12"/>
      <c r="R19" s="12"/>
      <c r="S19" s="13"/>
      <c r="T19" s="13"/>
      <c r="U19" s="8"/>
      <c r="V19" s="8"/>
      <c r="W19" s="12"/>
      <c r="X19" s="12"/>
    </row>
    <row r="20" spans="1:24" ht="13.5" thickBot="1" x14ac:dyDescent="0.25">
      <c r="A20" s="19"/>
      <c r="B20" s="19"/>
      <c r="C20" s="19"/>
      <c r="F20" s="22"/>
      <c r="M20" s="12"/>
      <c r="N20" s="12"/>
      <c r="O20" s="12"/>
      <c r="P20" s="12"/>
      <c r="Q20" s="12"/>
      <c r="R20" s="12"/>
      <c r="W20" s="12"/>
      <c r="X20" s="12"/>
    </row>
    <row r="21" spans="1:24" s="12" customFormat="1" x14ac:dyDescent="0.2">
      <c r="A21" s="9" t="s">
        <v>5</v>
      </c>
      <c r="B21" s="1">
        <v>30</v>
      </c>
      <c r="C21" s="9" t="s">
        <v>1</v>
      </c>
      <c r="D21" s="10"/>
      <c r="E21" s="10"/>
      <c r="F21" s="10"/>
      <c r="S21" s="13"/>
      <c r="T21" s="13"/>
      <c r="U21" s="8"/>
      <c r="V21" s="8"/>
    </row>
    <row r="22" spans="1:24" s="12" customFormat="1" x14ac:dyDescent="0.2">
      <c r="A22" s="9" t="s">
        <v>19</v>
      </c>
      <c r="B22" s="1">
        <f>Patm_pa(0)</f>
        <v>101325</v>
      </c>
      <c r="C22" s="9" t="s">
        <v>0</v>
      </c>
      <c r="D22" s="14" t="str">
        <f>IF(ABS(B22/101325-1)&gt;0.1,"Patm Wrong!?","OK Patm")</f>
        <v>OK Patm</v>
      </c>
      <c r="E22" s="10"/>
      <c r="F22" s="10"/>
      <c r="S22" s="13"/>
      <c r="T22" s="13"/>
      <c r="U22" s="8"/>
      <c r="V22" s="8"/>
    </row>
    <row r="23" spans="1:24" s="12" customFormat="1" x14ac:dyDescent="0.2">
      <c r="A23" s="9" t="s">
        <v>13</v>
      </c>
      <c r="B23" s="4">
        <v>1.3312713547184997E-2</v>
      </c>
      <c r="C23" s="9" t="s">
        <v>4</v>
      </c>
      <c r="D23" s="23"/>
      <c r="E23" s="23"/>
      <c r="F23" s="23"/>
      <c r="S23" s="13"/>
      <c r="T23" s="13"/>
      <c r="U23" s="8"/>
      <c r="V23" s="8"/>
    </row>
    <row r="24" spans="1:24" s="18" customFormat="1" x14ac:dyDescent="0.2">
      <c r="A24" s="15" t="s">
        <v>8</v>
      </c>
      <c r="B24" s="21">
        <f>RH2_air(B21+273.15,B22,B23)</f>
        <v>0.5</v>
      </c>
      <c r="C24" s="15"/>
      <c r="M24" s="12"/>
      <c r="N24" s="12"/>
      <c r="O24" s="12"/>
      <c r="P24" s="12"/>
      <c r="Q24" s="12"/>
      <c r="R24" s="12"/>
      <c r="S24" s="13"/>
      <c r="T24" s="13"/>
      <c r="U24" s="8"/>
      <c r="V24" s="8"/>
      <c r="W24" s="12"/>
      <c r="X24" s="12"/>
    </row>
    <row r="25" spans="1:24" s="18" customFormat="1" x14ac:dyDescent="0.2">
      <c r="A25" s="15" t="s">
        <v>15</v>
      </c>
      <c r="B25" s="16">
        <f>Tdew2_air(B22,B23)-273.15</f>
        <v>18.445474381205088</v>
      </c>
      <c r="C25" s="15" t="s">
        <v>1</v>
      </c>
      <c r="F25" s="24"/>
      <c r="G25" s="24"/>
      <c r="H25" s="24"/>
      <c r="I25" s="24"/>
      <c r="J25" s="24"/>
      <c r="K25" s="24"/>
      <c r="M25" s="12"/>
      <c r="N25" s="12"/>
      <c r="O25" s="12"/>
      <c r="P25" s="12"/>
      <c r="Q25" s="12"/>
      <c r="R25" s="12"/>
      <c r="S25" s="13"/>
      <c r="T25" s="13"/>
      <c r="U25" s="8"/>
      <c r="V25" s="8"/>
      <c r="W25" s="12"/>
      <c r="X25" s="12"/>
    </row>
    <row r="26" spans="1:24" s="18" customFormat="1" x14ac:dyDescent="0.2">
      <c r="A26" s="15" t="s">
        <v>10</v>
      </c>
      <c r="B26" s="16">
        <f>Enth_air(B21+273.15,B23)</f>
        <v>64235.947578259176</v>
      </c>
      <c r="C26" s="15" t="s">
        <v>3</v>
      </c>
      <c r="F26" s="25"/>
      <c r="G26" s="25"/>
      <c r="H26" s="25"/>
      <c r="I26" s="25"/>
      <c r="J26" s="25"/>
      <c r="K26" s="25"/>
      <c r="M26" s="12"/>
      <c r="N26" s="12"/>
      <c r="O26" s="12"/>
      <c r="P26" s="12"/>
      <c r="Q26" s="12"/>
      <c r="R26" s="12"/>
      <c r="S26" s="13"/>
      <c r="T26" s="13"/>
      <c r="U26" s="8"/>
      <c r="V26" s="8"/>
      <c r="W26" s="12"/>
      <c r="X26" s="12"/>
    </row>
    <row r="27" spans="1:24" s="18" customFormat="1" x14ac:dyDescent="0.2">
      <c r="A27" s="15" t="s">
        <v>11</v>
      </c>
      <c r="B27" s="18">
        <f>Dens2_air(B21+273.15,B22,B23)</f>
        <v>1.1552051717851313</v>
      </c>
      <c r="C27" s="15" t="s">
        <v>2</v>
      </c>
      <c r="M27" s="12"/>
      <c r="N27" s="12"/>
      <c r="O27" s="12"/>
      <c r="P27" s="12"/>
      <c r="Q27" s="12"/>
      <c r="R27" s="12"/>
      <c r="S27" s="13"/>
      <c r="T27" s="13"/>
      <c r="U27" s="8"/>
      <c r="V27" s="8"/>
      <c r="W27" s="12"/>
      <c r="X27" s="12"/>
    </row>
    <row r="28" spans="1:24" s="18" customFormat="1" x14ac:dyDescent="0.2">
      <c r="A28" s="15" t="s">
        <v>27</v>
      </c>
      <c r="B28" s="18">
        <f>cp_air(273.15+B21,B23)</f>
        <v>1031.36169989165</v>
      </c>
      <c r="C28" s="15" t="s">
        <v>28</v>
      </c>
      <c r="M28" s="12"/>
      <c r="N28" s="12"/>
      <c r="O28" s="12"/>
      <c r="P28" s="12"/>
      <c r="Q28" s="12"/>
      <c r="R28" s="12"/>
      <c r="S28" s="13"/>
      <c r="T28" s="13"/>
      <c r="U28" s="8"/>
      <c r="V28" s="8"/>
      <c r="W28" s="12"/>
      <c r="X28" s="12"/>
    </row>
    <row r="29" spans="1:24" ht="13.5" thickBot="1" x14ac:dyDescent="0.25">
      <c r="A29" s="19"/>
      <c r="B29" s="19"/>
      <c r="C29" s="19"/>
      <c r="E29" s="18"/>
      <c r="F29" s="18"/>
      <c r="G29" s="18"/>
      <c r="H29" s="18"/>
      <c r="I29" s="18"/>
      <c r="J29" s="18"/>
      <c r="K29" s="18"/>
      <c r="M29" s="12"/>
      <c r="N29" s="12"/>
      <c r="O29" s="12"/>
      <c r="P29" s="12"/>
      <c r="Q29" s="12"/>
      <c r="R29" s="12"/>
      <c r="W29" s="12"/>
      <c r="X29" s="12"/>
    </row>
    <row r="30" spans="1:24" s="12" customFormat="1" x14ac:dyDescent="0.2">
      <c r="A30" s="9" t="s">
        <v>5</v>
      </c>
      <c r="B30" s="1">
        <v>28</v>
      </c>
      <c r="C30" s="9" t="s">
        <v>1</v>
      </c>
      <c r="E30" s="18"/>
      <c r="F30" s="24"/>
      <c r="G30" s="24"/>
      <c r="H30" s="24"/>
      <c r="I30" s="24"/>
      <c r="J30" s="24"/>
      <c r="K30" s="24"/>
      <c r="S30" s="13"/>
      <c r="T30" s="13"/>
      <c r="U30" s="8"/>
      <c r="V30" s="8"/>
    </row>
    <row r="31" spans="1:24" s="12" customFormat="1" x14ac:dyDescent="0.2">
      <c r="A31" s="9" t="s">
        <v>19</v>
      </c>
      <c r="B31" s="1">
        <f>Patm_pa(0)</f>
        <v>101325</v>
      </c>
      <c r="C31" s="9" t="s">
        <v>0</v>
      </c>
      <c r="D31" s="14" t="str">
        <f>IF(ABS(B31/101325-1)&gt;0.1,"Patm Wrong!?","OK Patm")</f>
        <v>OK Patm</v>
      </c>
      <c r="E31" s="18"/>
      <c r="F31" s="25"/>
      <c r="G31" s="25"/>
      <c r="H31" s="25"/>
      <c r="I31" s="25"/>
      <c r="J31" s="25"/>
      <c r="K31" s="25"/>
      <c r="S31" s="13"/>
      <c r="T31" s="13"/>
      <c r="U31" s="8"/>
      <c r="V31" s="8"/>
    </row>
    <row r="32" spans="1:24" s="12" customFormat="1" x14ac:dyDescent="0.2">
      <c r="A32" s="9" t="s">
        <v>14</v>
      </c>
      <c r="B32" s="1">
        <v>22.016582565443628</v>
      </c>
      <c r="C32" s="9" t="s">
        <v>1</v>
      </c>
      <c r="S32" s="13"/>
      <c r="T32" s="13"/>
      <c r="U32" s="8"/>
      <c r="V32" s="8"/>
    </row>
    <row r="33" spans="1:24" x14ac:dyDescent="0.2">
      <c r="A33" s="15" t="s">
        <v>12</v>
      </c>
      <c r="B33" s="16">
        <f>HumidRatio2_air(B32+273.15,B31)</f>
        <v>1.6690438905297821E-2</v>
      </c>
      <c r="C33" s="15" t="s">
        <v>4</v>
      </c>
      <c r="M33" s="12"/>
      <c r="N33" s="12"/>
      <c r="O33" s="12"/>
      <c r="P33" s="12"/>
      <c r="Q33" s="12"/>
      <c r="R33" s="12"/>
      <c r="W33" s="12"/>
      <c r="X33" s="12"/>
    </row>
    <row r="34" spans="1:24" x14ac:dyDescent="0.2">
      <c r="A34" s="15" t="s">
        <v>9</v>
      </c>
      <c r="B34" s="21">
        <f>RH1_air(273.15+B30,273.15+B32)</f>
        <v>0.70000009153592535</v>
      </c>
      <c r="C34" s="15"/>
      <c r="M34" s="12"/>
      <c r="N34" s="12"/>
      <c r="O34" s="12"/>
      <c r="P34" s="12"/>
      <c r="Q34" s="12"/>
      <c r="R34" s="12"/>
      <c r="W34" s="12"/>
      <c r="X34" s="12"/>
    </row>
    <row r="35" spans="1:24" x14ac:dyDescent="0.2">
      <c r="A35" s="15" t="s">
        <v>10</v>
      </c>
      <c r="B35" s="16">
        <f>Enth_air(B30+273.15,B33)</f>
        <v>70795.140858207073</v>
      </c>
      <c r="C35" s="15" t="s">
        <v>3</v>
      </c>
      <c r="D35" s="26"/>
      <c r="M35" s="12"/>
      <c r="N35" s="12"/>
      <c r="O35" s="12"/>
      <c r="P35" s="12"/>
      <c r="Q35" s="12"/>
      <c r="R35" s="12"/>
      <c r="W35" s="12"/>
      <c r="X35" s="12"/>
    </row>
    <row r="36" spans="1:24" x14ac:dyDescent="0.2">
      <c r="A36" s="15" t="s">
        <v>11</v>
      </c>
      <c r="B36" s="18">
        <f>Dens2_air(B30+273.15,B31,B33)</f>
        <v>1.1605824839550738</v>
      </c>
      <c r="C36" s="15" t="s">
        <v>2</v>
      </c>
      <c r="M36" s="12"/>
      <c r="N36" s="12"/>
      <c r="O36" s="12"/>
      <c r="P36" s="12"/>
      <c r="Q36" s="12"/>
      <c r="R36" s="12"/>
      <c r="W36" s="12"/>
      <c r="X36" s="12"/>
    </row>
    <row r="37" spans="1:24" ht="13.5" thickBot="1" x14ac:dyDescent="0.25">
      <c r="A37" s="19"/>
      <c r="B37" s="19"/>
      <c r="C37" s="19"/>
      <c r="M37" s="12"/>
      <c r="N37" s="12"/>
      <c r="O37" s="12"/>
      <c r="P37" s="12"/>
      <c r="Q37" s="12"/>
      <c r="R37" s="12"/>
      <c r="W37" s="12"/>
      <c r="X37" s="12"/>
    </row>
    <row r="38" spans="1:24" x14ac:dyDescent="0.2">
      <c r="A38" s="27" t="s">
        <v>26</v>
      </c>
      <c r="B38" s="10"/>
      <c r="C38" s="9"/>
      <c r="M38" s="12"/>
      <c r="N38" s="12"/>
      <c r="O38" s="12"/>
      <c r="P38" s="12"/>
      <c r="Q38" s="12"/>
      <c r="R38" s="12"/>
      <c r="W38" s="12"/>
      <c r="X38" s="12"/>
    </row>
    <row r="39" spans="1:24" x14ac:dyDescent="0.2">
      <c r="A39" s="9" t="s">
        <v>5</v>
      </c>
      <c r="B39" s="1">
        <v>20</v>
      </c>
      <c r="C39" s="9" t="s">
        <v>1</v>
      </c>
      <c r="M39" s="12"/>
      <c r="N39" s="12"/>
      <c r="O39" s="12"/>
      <c r="P39" s="12"/>
      <c r="Q39" s="12"/>
      <c r="R39" s="12"/>
      <c r="W39" s="12"/>
      <c r="X39" s="12"/>
    </row>
    <row r="40" spans="1:24" x14ac:dyDescent="0.2">
      <c r="A40" s="9" t="s">
        <v>19</v>
      </c>
      <c r="B40" s="1">
        <f>Patm_pa(0)</f>
        <v>101325</v>
      </c>
      <c r="C40" s="9" t="s">
        <v>0</v>
      </c>
      <c r="D40" s="14" t="str">
        <f>IF(ABS(B40/101325-1)&gt;0.1,"Patm Wrong!?","OK Patm")</f>
        <v>OK Patm</v>
      </c>
      <c r="M40" s="12"/>
      <c r="N40" s="12"/>
      <c r="O40" s="12"/>
      <c r="P40" s="12"/>
      <c r="Q40" s="12"/>
      <c r="R40" s="12"/>
      <c r="W40" s="12"/>
      <c r="X40" s="12"/>
    </row>
    <row r="41" spans="1:24" x14ac:dyDescent="0.2">
      <c r="A41" s="9" t="s">
        <v>35</v>
      </c>
      <c r="B41" s="7" t="s">
        <v>36</v>
      </c>
      <c r="C41" s="9"/>
      <c r="M41" s="12"/>
      <c r="N41" s="12"/>
      <c r="O41" s="12"/>
      <c r="P41" s="12"/>
      <c r="Q41" s="12"/>
      <c r="R41" s="12"/>
      <c r="W41" s="12"/>
      <c r="X41" s="12"/>
    </row>
    <row r="42" spans="1:24" x14ac:dyDescent="0.2">
      <c r="A42" s="15" t="s">
        <v>25</v>
      </c>
      <c r="B42" s="18">
        <f>_xlfn.NUMBERVALUE(RIGHT(B41,LEN(B41)-FIND(":",B41)),".")</f>
        <v>44.009799999999998</v>
      </c>
      <c r="C42" s="15" t="s">
        <v>23</v>
      </c>
      <c r="M42" s="12"/>
      <c r="N42" s="12"/>
      <c r="O42" s="12"/>
      <c r="P42" s="12"/>
      <c r="Q42" s="12"/>
      <c r="R42" s="12"/>
      <c r="W42" s="12"/>
      <c r="X42" s="12"/>
    </row>
    <row r="43" spans="1:24" x14ac:dyDescent="0.2">
      <c r="A43" s="15" t="s">
        <v>24</v>
      </c>
      <c r="B43" s="18">
        <f>B42/1000/(8.31441*(273.15+B39)/B40)</f>
        <v>1.8295516401848455</v>
      </c>
      <c r="C43" s="15" t="s">
        <v>2</v>
      </c>
      <c r="M43" s="12"/>
      <c r="N43" s="12"/>
      <c r="O43" s="12"/>
      <c r="P43" s="12"/>
      <c r="Q43" s="12"/>
      <c r="R43" s="12"/>
      <c r="W43" s="12"/>
      <c r="X43" s="12"/>
    </row>
    <row r="44" spans="1:24" x14ac:dyDescent="0.2">
      <c r="M44" s="12"/>
      <c r="N44" s="12"/>
      <c r="O44" s="12"/>
      <c r="P44" s="12"/>
      <c r="Q44" s="12"/>
      <c r="R44" s="12"/>
      <c r="W44" s="12"/>
      <c r="X44" s="12"/>
    </row>
    <row r="45" spans="1:24" x14ac:dyDescent="0.2">
      <c r="A45" s="29"/>
      <c r="B45" s="29"/>
      <c r="C45" s="30"/>
      <c r="M45" s="12"/>
      <c r="N45" s="12"/>
      <c r="O45" s="12"/>
      <c r="P45" s="12"/>
      <c r="Q45" s="12"/>
      <c r="R45" s="12"/>
      <c r="W45" s="12"/>
      <c r="X45" s="12"/>
    </row>
    <row r="46" spans="1:24" x14ac:dyDescent="0.2">
      <c r="M46" s="12"/>
      <c r="N46" s="12"/>
      <c r="O46" s="12"/>
      <c r="P46" s="12"/>
      <c r="Q46" s="12"/>
      <c r="R46" s="12"/>
      <c r="W46" s="12"/>
      <c r="X46" s="12"/>
    </row>
    <row r="47" spans="1:24" x14ac:dyDescent="0.2">
      <c r="B47" s="31"/>
      <c r="M47" s="12"/>
      <c r="N47" s="12"/>
      <c r="O47" s="12"/>
      <c r="P47" s="12"/>
      <c r="Q47" s="12"/>
      <c r="R47" s="12"/>
      <c r="W47" s="12"/>
      <c r="X47" s="12"/>
    </row>
    <row r="48" spans="1:24" x14ac:dyDescent="0.2">
      <c r="M48" s="12"/>
      <c r="N48" s="12"/>
      <c r="O48" s="12"/>
      <c r="P48" s="12"/>
      <c r="Q48" s="12"/>
      <c r="R48" s="12"/>
      <c r="W48" s="12"/>
      <c r="X48" s="12"/>
    </row>
    <row r="49" spans="3:24" x14ac:dyDescent="0.2">
      <c r="M49" s="12"/>
      <c r="N49" s="12"/>
      <c r="O49" s="12"/>
      <c r="P49" s="12"/>
      <c r="Q49" s="12"/>
      <c r="R49" s="12"/>
      <c r="W49" s="12"/>
      <c r="X49" s="12"/>
    </row>
    <row r="50" spans="3:24" x14ac:dyDescent="0.2">
      <c r="M50" s="12"/>
      <c r="N50" s="12"/>
      <c r="O50" s="12"/>
      <c r="P50" s="12"/>
      <c r="Q50" s="12"/>
      <c r="R50" s="12"/>
      <c r="W50" s="12"/>
      <c r="X50" s="12"/>
    </row>
    <row r="51" spans="3:24" x14ac:dyDescent="0.2">
      <c r="M51" s="12"/>
      <c r="N51" s="12"/>
      <c r="O51" s="12"/>
      <c r="P51" s="12"/>
      <c r="Q51" s="12"/>
      <c r="R51" s="12"/>
      <c r="W51" s="12"/>
      <c r="X51" s="12"/>
    </row>
    <row r="52" spans="3:24" x14ac:dyDescent="0.2">
      <c r="M52" s="12"/>
      <c r="N52" s="12"/>
      <c r="O52" s="12"/>
      <c r="P52" s="12"/>
      <c r="Q52" s="12"/>
      <c r="R52" s="12"/>
      <c r="W52" s="12"/>
      <c r="X52" s="12"/>
    </row>
    <row r="53" spans="3:24" x14ac:dyDescent="0.2">
      <c r="C53" s="20"/>
      <c r="M53" s="12"/>
      <c r="N53" s="12"/>
      <c r="O53" s="12"/>
      <c r="P53" s="12"/>
      <c r="Q53" s="12"/>
      <c r="R53" s="12"/>
      <c r="W53" s="12"/>
      <c r="X53" s="12"/>
    </row>
    <row r="54" spans="3:24" x14ac:dyDescent="0.2">
      <c r="M54" s="12"/>
      <c r="N54" s="12"/>
      <c r="O54" s="12"/>
      <c r="P54" s="12"/>
      <c r="Q54" s="12"/>
      <c r="R54" s="12"/>
      <c r="W54" s="12"/>
      <c r="X54" s="12"/>
    </row>
    <row r="55" spans="3:24" x14ac:dyDescent="0.2">
      <c r="M55" s="12"/>
      <c r="N55" s="12"/>
      <c r="O55" s="12"/>
      <c r="P55" s="12"/>
      <c r="Q55" s="12"/>
      <c r="R55" s="12"/>
      <c r="W55" s="12"/>
      <c r="X55" s="12"/>
    </row>
    <row r="56" spans="3:24" x14ac:dyDescent="0.2">
      <c r="C56" s="20"/>
      <c r="M56" s="12"/>
      <c r="N56" s="12"/>
      <c r="O56" s="12"/>
      <c r="P56" s="12"/>
      <c r="Q56" s="12"/>
      <c r="R56" s="12"/>
      <c r="W56" s="12"/>
      <c r="X56" s="12"/>
    </row>
    <row r="57" spans="3:24" x14ac:dyDescent="0.2">
      <c r="M57" s="12"/>
      <c r="N57" s="12"/>
      <c r="O57" s="12"/>
      <c r="P57" s="12"/>
      <c r="Q57" s="12"/>
      <c r="R57" s="12"/>
      <c r="W57" s="12"/>
      <c r="X57" s="12"/>
    </row>
    <row r="58" spans="3:24" x14ac:dyDescent="0.2">
      <c r="M58" s="12"/>
      <c r="N58" s="12"/>
      <c r="O58" s="12"/>
      <c r="P58" s="12"/>
      <c r="Q58" s="12"/>
      <c r="R58" s="12"/>
      <c r="W58" s="12"/>
      <c r="X58" s="12"/>
    </row>
    <row r="59" spans="3:24" x14ac:dyDescent="0.2">
      <c r="M59" s="12"/>
      <c r="N59" s="12"/>
      <c r="O59" s="12"/>
      <c r="P59" s="12"/>
      <c r="Q59" s="12"/>
      <c r="R59" s="12"/>
      <c r="W59" s="12"/>
      <c r="X59" s="12"/>
    </row>
    <row r="60" spans="3:24" x14ac:dyDescent="0.2">
      <c r="M60" s="12"/>
      <c r="N60" s="12"/>
      <c r="O60" s="12"/>
      <c r="P60" s="12"/>
      <c r="Q60" s="12"/>
      <c r="R60" s="12"/>
      <c r="W60" s="12"/>
      <c r="X60" s="12"/>
    </row>
    <row r="61" spans="3:24" x14ac:dyDescent="0.2">
      <c r="M61" s="12"/>
      <c r="N61" s="12"/>
      <c r="O61" s="12"/>
      <c r="P61" s="12"/>
      <c r="Q61" s="12"/>
      <c r="R61" s="12"/>
      <c r="W61" s="12"/>
      <c r="X61" s="12"/>
    </row>
    <row r="62" spans="3:24" x14ac:dyDescent="0.2">
      <c r="M62" s="12"/>
      <c r="N62" s="12"/>
      <c r="O62" s="12"/>
      <c r="P62" s="12"/>
      <c r="Q62" s="12"/>
      <c r="R62" s="12"/>
      <c r="W62" s="12"/>
      <c r="X62" s="12"/>
    </row>
    <row r="63" spans="3:24" x14ac:dyDescent="0.2">
      <c r="M63" s="12"/>
      <c r="N63" s="12"/>
      <c r="O63" s="12"/>
      <c r="P63" s="12"/>
      <c r="Q63" s="12"/>
      <c r="R63" s="12"/>
      <c r="W63" s="12"/>
      <c r="X63" s="12"/>
    </row>
    <row r="64" spans="3:24" x14ac:dyDescent="0.2">
      <c r="M64" s="12"/>
      <c r="N64" s="12"/>
      <c r="O64" s="12"/>
      <c r="P64" s="12"/>
      <c r="Q64" s="12"/>
      <c r="R64" s="12"/>
      <c r="W64" s="12"/>
      <c r="X64" s="12"/>
    </row>
    <row r="65" spans="13:24" x14ac:dyDescent="0.2">
      <c r="M65" s="12"/>
      <c r="N65" s="12"/>
      <c r="O65" s="12"/>
      <c r="P65" s="12"/>
      <c r="Q65" s="12"/>
      <c r="R65" s="12"/>
      <c r="W65" s="12"/>
      <c r="X65" s="12"/>
    </row>
    <row r="66" spans="13:24" x14ac:dyDescent="0.2">
      <c r="M66" s="12"/>
      <c r="N66" s="12"/>
      <c r="O66" s="12"/>
      <c r="P66" s="12"/>
      <c r="Q66" s="12"/>
      <c r="R66" s="12"/>
      <c r="W66" s="12"/>
      <c r="X66" s="12"/>
    </row>
    <row r="67" spans="13:24" x14ac:dyDescent="0.2">
      <c r="M67" s="12"/>
      <c r="N67" s="12"/>
      <c r="O67" s="12"/>
      <c r="P67" s="12"/>
      <c r="Q67" s="12"/>
      <c r="R67" s="12"/>
      <c r="W67" s="12"/>
      <c r="X67" s="12"/>
    </row>
    <row r="68" spans="13:24" x14ac:dyDescent="0.2">
      <c r="M68" s="12"/>
      <c r="N68" s="12"/>
      <c r="O68" s="12"/>
      <c r="P68" s="12"/>
      <c r="Q68" s="12"/>
      <c r="R68" s="12"/>
      <c r="W68" s="12"/>
      <c r="X68" s="12"/>
    </row>
    <row r="69" spans="13:24" x14ac:dyDescent="0.2">
      <c r="M69" s="12"/>
      <c r="N69" s="12"/>
      <c r="O69" s="12"/>
      <c r="P69" s="12"/>
      <c r="Q69" s="12"/>
      <c r="R69" s="12"/>
      <c r="W69" s="12"/>
      <c r="X69" s="12"/>
    </row>
    <row r="70" spans="13:24" x14ac:dyDescent="0.2">
      <c r="M70" s="12"/>
      <c r="N70" s="12"/>
      <c r="O70" s="12"/>
      <c r="P70" s="12"/>
      <c r="Q70" s="12"/>
      <c r="R70" s="12"/>
      <c r="W70" s="12"/>
      <c r="X70" s="12"/>
    </row>
    <row r="71" spans="13:24" x14ac:dyDescent="0.2">
      <c r="M71" s="12"/>
      <c r="N71" s="12"/>
      <c r="O71" s="12"/>
      <c r="P71" s="12"/>
      <c r="Q71" s="12"/>
      <c r="R71" s="12"/>
      <c r="W71" s="12"/>
      <c r="X71" s="12"/>
    </row>
    <row r="72" spans="13:24" x14ac:dyDescent="0.2">
      <c r="M72" s="12"/>
      <c r="N72" s="12"/>
      <c r="O72" s="12"/>
      <c r="P72" s="12"/>
      <c r="Q72" s="12"/>
      <c r="R72" s="12"/>
      <c r="W72" s="12"/>
      <c r="X72" s="12"/>
    </row>
    <row r="73" spans="13:24" x14ac:dyDescent="0.2">
      <c r="M73" s="12"/>
      <c r="N73" s="12"/>
      <c r="O73" s="12"/>
      <c r="P73" s="12"/>
      <c r="Q73" s="12"/>
      <c r="R73" s="12"/>
      <c r="W73" s="12"/>
      <c r="X73" s="12"/>
    </row>
    <row r="74" spans="13:24" x14ac:dyDescent="0.2">
      <c r="M74" s="12"/>
      <c r="N74" s="12"/>
      <c r="O74" s="12"/>
      <c r="P74" s="12"/>
      <c r="Q74" s="12"/>
      <c r="R74" s="12"/>
      <c r="W74" s="12"/>
      <c r="X74" s="12"/>
    </row>
    <row r="75" spans="13:24" x14ac:dyDescent="0.2">
      <c r="M75" s="12"/>
      <c r="N75" s="12"/>
      <c r="O75" s="12"/>
      <c r="P75" s="12"/>
      <c r="Q75" s="12"/>
      <c r="R75" s="12"/>
      <c r="W75" s="12"/>
      <c r="X75" s="12"/>
    </row>
    <row r="76" spans="13:24" x14ac:dyDescent="0.2">
      <c r="M76" s="12"/>
      <c r="N76" s="12"/>
      <c r="O76" s="12"/>
      <c r="P76" s="12"/>
      <c r="Q76" s="12"/>
      <c r="R76" s="12"/>
      <c r="W76" s="12"/>
      <c r="X76" s="12"/>
    </row>
    <row r="77" spans="13:24" x14ac:dyDescent="0.2">
      <c r="M77" s="12"/>
      <c r="N77" s="12"/>
      <c r="O77" s="12"/>
      <c r="P77" s="12"/>
      <c r="Q77" s="12"/>
      <c r="R77" s="12"/>
      <c r="W77" s="12"/>
      <c r="X77" s="12"/>
    </row>
    <row r="78" spans="13:24" x14ac:dyDescent="0.2">
      <c r="M78" s="12"/>
      <c r="N78" s="12"/>
      <c r="O78" s="12"/>
      <c r="P78" s="12"/>
      <c r="Q78" s="12"/>
      <c r="R78" s="12"/>
      <c r="W78" s="12"/>
      <c r="X78" s="12"/>
    </row>
    <row r="79" spans="13:24" x14ac:dyDescent="0.2">
      <c r="M79" s="12"/>
      <c r="N79" s="12"/>
      <c r="O79" s="12"/>
      <c r="P79" s="12"/>
      <c r="Q79" s="12"/>
      <c r="R79" s="12"/>
      <c r="W79" s="12"/>
      <c r="X79" s="12"/>
    </row>
    <row r="80" spans="13:24" x14ac:dyDescent="0.2">
      <c r="M80" s="12"/>
      <c r="N80" s="12"/>
      <c r="O80" s="12"/>
      <c r="P80" s="12"/>
      <c r="Q80" s="12"/>
      <c r="R80" s="12"/>
      <c r="W80" s="12"/>
      <c r="X80" s="12"/>
    </row>
    <row r="81" spans="13:24" x14ac:dyDescent="0.2">
      <c r="M81" s="12"/>
      <c r="N81" s="12"/>
      <c r="O81" s="12"/>
      <c r="P81" s="12"/>
      <c r="Q81" s="12"/>
      <c r="R81" s="12"/>
      <c r="W81" s="12"/>
      <c r="X81" s="12"/>
    </row>
    <row r="82" spans="13:24" x14ac:dyDescent="0.2">
      <c r="M82" s="12"/>
      <c r="N82" s="12"/>
      <c r="O82" s="12"/>
      <c r="P82" s="12"/>
      <c r="Q82" s="12"/>
      <c r="R82" s="12"/>
      <c r="W82" s="12"/>
      <c r="X82" s="12"/>
    </row>
    <row r="83" spans="13:24" x14ac:dyDescent="0.2">
      <c r="M83" s="12"/>
      <c r="N83" s="12"/>
      <c r="O83" s="12"/>
      <c r="P83" s="12"/>
      <c r="Q83" s="12"/>
      <c r="R83" s="12"/>
      <c r="W83" s="12"/>
      <c r="X83" s="12"/>
    </row>
    <row r="84" spans="13:24" x14ac:dyDescent="0.2">
      <c r="M84" s="12"/>
      <c r="N84" s="12"/>
      <c r="O84" s="12"/>
      <c r="P84" s="12"/>
      <c r="Q84" s="12"/>
      <c r="R84" s="12"/>
      <c r="W84" s="12"/>
      <c r="X84" s="12"/>
    </row>
    <row r="85" spans="13:24" x14ac:dyDescent="0.2">
      <c r="M85" s="12"/>
      <c r="N85" s="12"/>
      <c r="O85" s="12"/>
      <c r="P85" s="12"/>
      <c r="Q85" s="12"/>
      <c r="R85" s="12"/>
      <c r="W85" s="12"/>
      <c r="X85" s="12"/>
    </row>
    <row r="86" spans="13:24" x14ac:dyDescent="0.2">
      <c r="M86" s="12"/>
      <c r="N86" s="12"/>
      <c r="O86" s="12"/>
      <c r="P86" s="12"/>
      <c r="Q86" s="12"/>
      <c r="R86" s="12"/>
      <c r="W86" s="12"/>
      <c r="X86" s="12"/>
    </row>
    <row r="87" spans="13:24" x14ac:dyDescent="0.2">
      <c r="M87" s="12"/>
      <c r="N87" s="12"/>
      <c r="O87" s="12"/>
      <c r="P87" s="12"/>
      <c r="Q87" s="12"/>
      <c r="R87" s="12"/>
      <c r="W87" s="12"/>
      <c r="X87" s="12"/>
    </row>
    <row r="88" spans="13:24" x14ac:dyDescent="0.2">
      <c r="M88" s="12"/>
      <c r="N88" s="12"/>
      <c r="O88" s="12"/>
      <c r="P88" s="12"/>
      <c r="Q88" s="12"/>
      <c r="R88" s="12"/>
      <c r="W88" s="12"/>
      <c r="X88" s="12"/>
    </row>
    <row r="89" spans="13:24" x14ac:dyDescent="0.2">
      <c r="M89" s="12"/>
      <c r="N89" s="12"/>
      <c r="O89" s="12"/>
      <c r="P89" s="12"/>
      <c r="Q89" s="12"/>
      <c r="R89" s="12"/>
      <c r="W89" s="12"/>
      <c r="X89" s="12"/>
    </row>
    <row r="90" spans="13:24" x14ac:dyDescent="0.2">
      <c r="M90" s="12"/>
      <c r="N90" s="12"/>
      <c r="O90" s="12"/>
      <c r="P90" s="12"/>
      <c r="Q90" s="12"/>
      <c r="R90" s="12"/>
      <c r="W90" s="12"/>
      <c r="X90" s="12"/>
    </row>
    <row r="91" spans="13:24" x14ac:dyDescent="0.2">
      <c r="M91" s="12"/>
      <c r="N91" s="12"/>
      <c r="O91" s="12"/>
      <c r="P91" s="12"/>
      <c r="Q91" s="12"/>
      <c r="R91" s="12"/>
      <c r="W91" s="12"/>
      <c r="X91" s="12"/>
    </row>
    <row r="92" spans="13:24" x14ac:dyDescent="0.2">
      <c r="M92" s="12"/>
      <c r="N92" s="12"/>
      <c r="O92" s="12"/>
      <c r="P92" s="12"/>
      <c r="Q92" s="12"/>
      <c r="R92" s="12"/>
      <c r="W92" s="12"/>
      <c r="X92" s="12"/>
    </row>
    <row r="93" spans="13:24" x14ac:dyDescent="0.2">
      <c r="M93" s="12"/>
      <c r="N93" s="12"/>
      <c r="O93" s="12"/>
      <c r="P93" s="12"/>
      <c r="Q93" s="12"/>
      <c r="R93" s="12"/>
      <c r="W93" s="12"/>
      <c r="X93" s="12"/>
    </row>
    <row r="94" spans="13:24" x14ac:dyDescent="0.2">
      <c r="M94" s="12"/>
      <c r="N94" s="12"/>
      <c r="O94" s="12"/>
      <c r="P94" s="12"/>
      <c r="Q94" s="12"/>
      <c r="R94" s="12"/>
      <c r="W94" s="12"/>
      <c r="X94" s="12"/>
    </row>
    <row r="95" spans="13:24" x14ac:dyDescent="0.2">
      <c r="M95" s="12"/>
      <c r="N95" s="12"/>
      <c r="O95" s="12"/>
      <c r="P95" s="12"/>
      <c r="Q95" s="12"/>
      <c r="R95" s="12"/>
      <c r="W95" s="12"/>
      <c r="X95" s="12"/>
    </row>
    <row r="96" spans="13:24" x14ac:dyDescent="0.2">
      <c r="M96" s="12"/>
      <c r="N96" s="12"/>
      <c r="O96" s="12"/>
      <c r="P96" s="12"/>
      <c r="Q96" s="12"/>
      <c r="R96" s="12"/>
      <c r="W96" s="12"/>
      <c r="X96" s="12"/>
    </row>
    <row r="97" spans="13:24" x14ac:dyDescent="0.2">
      <c r="M97" s="12"/>
      <c r="N97" s="12"/>
      <c r="O97" s="12"/>
      <c r="P97" s="12"/>
      <c r="Q97" s="12"/>
      <c r="R97" s="12"/>
      <c r="W97" s="12"/>
      <c r="X97" s="12"/>
    </row>
    <row r="98" spans="13:24" x14ac:dyDescent="0.2">
      <c r="M98" s="12"/>
      <c r="N98" s="12"/>
      <c r="O98" s="12"/>
      <c r="P98" s="12"/>
      <c r="Q98" s="12"/>
      <c r="R98" s="12"/>
      <c r="W98" s="12"/>
      <c r="X98" s="12"/>
    </row>
    <row r="99" spans="13:24" x14ac:dyDescent="0.2">
      <c r="M99" s="12"/>
      <c r="N99" s="12"/>
      <c r="O99" s="12"/>
      <c r="P99" s="12"/>
      <c r="Q99" s="12"/>
      <c r="R99" s="12"/>
      <c r="W99" s="12"/>
      <c r="X99" s="12"/>
    </row>
    <row r="100" spans="13:24" x14ac:dyDescent="0.2">
      <c r="M100" s="12"/>
      <c r="N100" s="12"/>
      <c r="O100" s="12"/>
      <c r="P100" s="12"/>
      <c r="Q100" s="12"/>
      <c r="R100" s="12"/>
      <c r="W100" s="12"/>
      <c r="X100" s="12"/>
    </row>
    <row r="101" spans="13:24" x14ac:dyDescent="0.2">
      <c r="M101" s="12"/>
      <c r="N101" s="12"/>
      <c r="O101" s="12"/>
      <c r="P101" s="12"/>
      <c r="Q101" s="12"/>
      <c r="R101" s="12"/>
      <c r="W101" s="12"/>
      <c r="X101" s="12"/>
    </row>
    <row r="102" spans="13:24" x14ac:dyDescent="0.2">
      <c r="M102" s="12"/>
      <c r="N102" s="12"/>
      <c r="O102" s="12"/>
      <c r="P102" s="12"/>
      <c r="Q102" s="12"/>
      <c r="R102" s="12"/>
      <c r="W102" s="12"/>
      <c r="X102" s="12"/>
    </row>
    <row r="103" spans="13:24" x14ac:dyDescent="0.2">
      <c r="M103" s="12"/>
      <c r="N103" s="12"/>
      <c r="O103" s="12"/>
      <c r="P103" s="12"/>
      <c r="Q103" s="12"/>
      <c r="R103" s="12"/>
      <c r="W103" s="12"/>
      <c r="X103" s="12"/>
    </row>
    <row r="104" spans="13:24" x14ac:dyDescent="0.2">
      <c r="M104" s="12"/>
      <c r="N104" s="12"/>
      <c r="O104" s="12"/>
      <c r="P104" s="12"/>
      <c r="Q104" s="12"/>
      <c r="R104" s="12"/>
      <c r="W104" s="12"/>
      <c r="X104" s="12"/>
    </row>
    <row r="105" spans="13:24" x14ac:dyDescent="0.2">
      <c r="M105" s="12"/>
      <c r="N105" s="12"/>
      <c r="O105" s="12"/>
      <c r="P105" s="12"/>
      <c r="Q105" s="12"/>
      <c r="R105" s="12"/>
      <c r="W105" s="12"/>
      <c r="X105" s="12"/>
    </row>
    <row r="106" spans="13:24" x14ac:dyDescent="0.2">
      <c r="M106" s="12"/>
      <c r="N106" s="12"/>
      <c r="O106" s="12"/>
      <c r="P106" s="12"/>
      <c r="Q106" s="12"/>
      <c r="R106" s="12"/>
      <c r="W106" s="12"/>
      <c r="X106" s="12"/>
    </row>
    <row r="107" spans="13:24" x14ac:dyDescent="0.2">
      <c r="M107" s="12"/>
      <c r="N107" s="12"/>
      <c r="O107" s="12"/>
      <c r="P107" s="12"/>
      <c r="Q107" s="12"/>
      <c r="R107" s="12"/>
      <c r="W107" s="12"/>
      <c r="X107" s="12"/>
    </row>
    <row r="108" spans="13:24" x14ac:dyDescent="0.2">
      <c r="M108" s="12"/>
      <c r="N108" s="12"/>
      <c r="O108" s="12"/>
      <c r="P108" s="12"/>
      <c r="Q108" s="12"/>
      <c r="R108" s="12"/>
      <c r="W108" s="12"/>
      <c r="X108" s="12"/>
    </row>
    <row r="109" spans="13:24" x14ac:dyDescent="0.2">
      <c r="M109" s="12"/>
      <c r="N109" s="12"/>
      <c r="O109" s="12"/>
      <c r="P109" s="12"/>
      <c r="Q109" s="12"/>
      <c r="R109" s="12"/>
      <c r="W109" s="12"/>
      <c r="X109" s="12"/>
    </row>
    <row r="110" spans="13:24" x14ac:dyDescent="0.2">
      <c r="M110" s="12"/>
      <c r="N110" s="12"/>
      <c r="O110" s="12"/>
      <c r="P110" s="12"/>
      <c r="Q110" s="12"/>
      <c r="R110" s="12"/>
      <c r="W110" s="12"/>
      <c r="X110" s="12"/>
    </row>
    <row r="111" spans="13:24" x14ac:dyDescent="0.2">
      <c r="M111" s="12"/>
      <c r="N111" s="12"/>
      <c r="O111" s="12"/>
      <c r="P111" s="12"/>
      <c r="Q111" s="12"/>
      <c r="R111" s="12"/>
      <c r="W111" s="12"/>
      <c r="X111" s="12"/>
    </row>
    <row r="112" spans="13:24" x14ac:dyDescent="0.2">
      <c r="M112" s="12"/>
      <c r="N112" s="12"/>
      <c r="O112" s="12"/>
      <c r="P112" s="12"/>
      <c r="Q112" s="12"/>
      <c r="R112" s="12"/>
      <c r="W112" s="12"/>
      <c r="X112" s="12"/>
    </row>
    <row r="113" spans="13:24" x14ac:dyDescent="0.2">
      <c r="M113" s="12"/>
      <c r="N113" s="12"/>
      <c r="O113" s="12"/>
      <c r="P113" s="12"/>
      <c r="Q113" s="12"/>
      <c r="R113" s="12"/>
      <c r="W113" s="12"/>
      <c r="X113" s="12"/>
    </row>
    <row r="114" spans="13:24" x14ac:dyDescent="0.2">
      <c r="M114" s="12"/>
      <c r="N114" s="12"/>
      <c r="O114" s="12"/>
      <c r="P114" s="12"/>
      <c r="Q114" s="12"/>
      <c r="R114" s="12"/>
      <c r="W114" s="12"/>
      <c r="X114" s="12"/>
    </row>
    <row r="115" spans="13:24" x14ac:dyDescent="0.2">
      <c r="M115" s="12"/>
      <c r="N115" s="12"/>
      <c r="O115" s="12"/>
      <c r="P115" s="12"/>
      <c r="Q115" s="12"/>
      <c r="R115" s="12"/>
      <c r="W115" s="12"/>
      <c r="X115" s="12"/>
    </row>
    <row r="116" spans="13:24" x14ac:dyDescent="0.2">
      <c r="M116" s="12"/>
      <c r="N116" s="12"/>
      <c r="O116" s="12"/>
      <c r="P116" s="12"/>
      <c r="Q116" s="12"/>
      <c r="R116" s="12"/>
      <c r="W116" s="12"/>
      <c r="X116" s="12"/>
    </row>
    <row r="117" spans="13:24" x14ac:dyDescent="0.2">
      <c r="M117" s="12"/>
      <c r="N117" s="12"/>
      <c r="O117" s="12"/>
      <c r="P117" s="12"/>
      <c r="Q117" s="12"/>
      <c r="R117" s="12"/>
      <c r="W117" s="12"/>
      <c r="X117" s="12"/>
    </row>
    <row r="118" spans="13:24" x14ac:dyDescent="0.2">
      <c r="M118" s="12"/>
      <c r="N118" s="12"/>
      <c r="O118" s="12"/>
      <c r="P118" s="12"/>
      <c r="Q118" s="12"/>
      <c r="R118" s="12"/>
      <c r="W118" s="12"/>
      <c r="X118" s="12"/>
    </row>
    <row r="119" spans="13:24" x14ac:dyDescent="0.2">
      <c r="M119" s="12"/>
      <c r="N119" s="12"/>
      <c r="O119" s="12"/>
      <c r="P119" s="12"/>
      <c r="Q119" s="12"/>
      <c r="R119" s="12"/>
      <c r="W119" s="12"/>
      <c r="X119" s="12"/>
    </row>
    <row r="120" spans="13:24" x14ac:dyDescent="0.2">
      <c r="M120" s="12"/>
      <c r="N120" s="12"/>
      <c r="O120" s="12"/>
      <c r="P120" s="12"/>
      <c r="Q120" s="12"/>
      <c r="R120" s="12"/>
      <c r="W120" s="12"/>
      <c r="X120" s="12"/>
    </row>
    <row r="121" spans="13:24" x14ac:dyDescent="0.2">
      <c r="M121" s="12"/>
      <c r="N121" s="12"/>
      <c r="O121" s="12"/>
      <c r="P121" s="12"/>
      <c r="Q121" s="12"/>
      <c r="R121" s="12"/>
      <c r="W121" s="12"/>
      <c r="X121" s="12"/>
    </row>
    <row r="122" spans="13:24" x14ac:dyDescent="0.2">
      <c r="M122" s="12"/>
      <c r="N122" s="12"/>
      <c r="O122" s="12"/>
      <c r="P122" s="12"/>
      <c r="Q122" s="12"/>
      <c r="R122" s="12"/>
      <c r="W122" s="12"/>
      <c r="X122" s="12"/>
    </row>
    <row r="123" spans="13:24" x14ac:dyDescent="0.2">
      <c r="M123" s="12"/>
      <c r="N123" s="12"/>
      <c r="O123" s="12"/>
      <c r="P123" s="12"/>
      <c r="Q123" s="12"/>
      <c r="R123" s="12"/>
      <c r="W123" s="12"/>
      <c r="X123" s="12"/>
    </row>
    <row r="124" spans="13:24" x14ac:dyDescent="0.2">
      <c r="M124" s="12"/>
      <c r="N124" s="12"/>
      <c r="O124" s="12"/>
      <c r="P124" s="12"/>
      <c r="Q124" s="12"/>
      <c r="R124" s="12"/>
      <c r="W124" s="12"/>
      <c r="X124" s="12"/>
    </row>
    <row r="125" spans="13:24" x14ac:dyDescent="0.2">
      <c r="M125" s="12"/>
      <c r="N125" s="12"/>
      <c r="O125" s="12"/>
      <c r="P125" s="12"/>
      <c r="Q125" s="12"/>
      <c r="R125" s="12"/>
      <c r="W125" s="12"/>
      <c r="X125" s="12"/>
    </row>
    <row r="126" spans="13:24" x14ac:dyDescent="0.2">
      <c r="M126" s="12"/>
      <c r="N126" s="12"/>
      <c r="O126" s="12"/>
      <c r="P126" s="12"/>
      <c r="Q126" s="12"/>
      <c r="R126" s="12"/>
      <c r="W126" s="12"/>
      <c r="X126" s="12"/>
    </row>
    <row r="127" spans="13:24" x14ac:dyDescent="0.2">
      <c r="M127" s="12"/>
      <c r="N127" s="12"/>
      <c r="O127" s="12"/>
      <c r="P127" s="12"/>
      <c r="Q127" s="12"/>
      <c r="R127" s="12"/>
      <c r="W127" s="12"/>
      <c r="X127" s="12"/>
    </row>
    <row r="128" spans="13:24" x14ac:dyDescent="0.2">
      <c r="M128" s="12"/>
      <c r="N128" s="12"/>
      <c r="O128" s="12"/>
      <c r="P128" s="12"/>
      <c r="Q128" s="12"/>
      <c r="R128" s="12"/>
      <c r="W128" s="12"/>
      <c r="X128" s="12"/>
    </row>
    <row r="129" spans="13:24" x14ac:dyDescent="0.2">
      <c r="M129" s="12"/>
      <c r="N129" s="12"/>
      <c r="O129" s="12"/>
      <c r="P129" s="12"/>
      <c r="Q129" s="12"/>
      <c r="R129" s="12"/>
      <c r="W129" s="12"/>
      <c r="X129" s="12"/>
    </row>
    <row r="130" spans="13:24" x14ac:dyDescent="0.2">
      <c r="M130" s="12"/>
      <c r="N130" s="12"/>
      <c r="O130" s="12"/>
      <c r="P130" s="12"/>
      <c r="Q130" s="12"/>
      <c r="R130" s="12"/>
      <c r="W130" s="12"/>
      <c r="X130" s="12"/>
    </row>
    <row r="131" spans="13:24" x14ac:dyDescent="0.2">
      <c r="M131" s="12"/>
      <c r="N131" s="12"/>
      <c r="O131" s="12"/>
      <c r="P131" s="12"/>
      <c r="Q131" s="12"/>
      <c r="R131" s="12"/>
      <c r="W131" s="12"/>
      <c r="X131" s="12"/>
    </row>
    <row r="132" spans="13:24" x14ac:dyDescent="0.2">
      <c r="M132" s="12"/>
      <c r="N132" s="12"/>
      <c r="O132" s="12"/>
      <c r="P132" s="12"/>
      <c r="Q132" s="12"/>
      <c r="R132" s="12"/>
      <c r="W132" s="12"/>
      <c r="X132" s="12"/>
    </row>
    <row r="133" spans="13:24" x14ac:dyDescent="0.2">
      <c r="M133" s="12"/>
      <c r="N133" s="12"/>
      <c r="O133" s="12"/>
      <c r="P133" s="12"/>
      <c r="Q133" s="12"/>
      <c r="R133" s="12"/>
      <c r="W133" s="12"/>
      <c r="X133" s="12"/>
    </row>
    <row r="134" spans="13:24" x14ac:dyDescent="0.2">
      <c r="M134" s="12"/>
      <c r="N134" s="12"/>
      <c r="O134" s="12"/>
      <c r="P134" s="12"/>
      <c r="Q134" s="12"/>
      <c r="R134" s="12"/>
      <c r="W134" s="12"/>
      <c r="X134" s="12"/>
    </row>
    <row r="135" spans="13:24" x14ac:dyDescent="0.2">
      <c r="M135" s="12"/>
      <c r="N135" s="12"/>
      <c r="O135" s="12"/>
      <c r="P135" s="12"/>
      <c r="Q135" s="12"/>
      <c r="R135" s="12"/>
      <c r="W135" s="12"/>
      <c r="X135" s="12"/>
    </row>
    <row r="136" spans="13:24" x14ac:dyDescent="0.2">
      <c r="M136" s="12"/>
      <c r="N136" s="12"/>
      <c r="O136" s="12"/>
      <c r="P136" s="12"/>
      <c r="Q136" s="12"/>
      <c r="R136" s="12"/>
      <c r="W136" s="12"/>
      <c r="X136" s="12"/>
    </row>
    <row r="137" spans="13:24" x14ac:dyDescent="0.2">
      <c r="M137" s="12"/>
      <c r="N137" s="12"/>
      <c r="O137" s="12"/>
      <c r="P137" s="12"/>
      <c r="Q137" s="12"/>
      <c r="R137" s="12"/>
      <c r="W137" s="12"/>
      <c r="X137" s="12"/>
    </row>
    <row r="138" spans="13:24" x14ac:dyDescent="0.2">
      <c r="M138" s="12"/>
      <c r="N138" s="12"/>
      <c r="O138" s="12"/>
      <c r="P138" s="12"/>
      <c r="Q138" s="12"/>
      <c r="R138" s="12"/>
      <c r="W138" s="12"/>
      <c r="X138" s="12"/>
    </row>
    <row r="139" spans="13:24" x14ac:dyDescent="0.2">
      <c r="M139" s="12"/>
      <c r="N139" s="12"/>
      <c r="O139" s="12"/>
      <c r="P139" s="12"/>
      <c r="Q139" s="12"/>
      <c r="R139" s="12"/>
      <c r="W139" s="12"/>
      <c r="X139" s="12"/>
    </row>
    <row r="140" spans="13:24" x14ac:dyDescent="0.2">
      <c r="M140" s="12"/>
      <c r="N140" s="12"/>
      <c r="O140" s="12"/>
      <c r="P140" s="12"/>
      <c r="Q140" s="12"/>
      <c r="R140" s="12"/>
      <c r="W140" s="12"/>
      <c r="X140" s="12"/>
    </row>
    <row r="141" spans="13:24" x14ac:dyDescent="0.2">
      <c r="M141" s="12"/>
      <c r="N141" s="12"/>
      <c r="O141" s="12"/>
      <c r="P141" s="12"/>
      <c r="Q141" s="12"/>
      <c r="R141" s="12"/>
      <c r="W141" s="12"/>
      <c r="X141" s="12"/>
    </row>
    <row r="142" spans="13:24" x14ac:dyDescent="0.2">
      <c r="M142" s="12"/>
      <c r="N142" s="12"/>
      <c r="O142" s="12"/>
      <c r="P142" s="12"/>
      <c r="Q142" s="12"/>
      <c r="R142" s="12"/>
      <c r="W142" s="12"/>
      <c r="X142" s="12"/>
    </row>
    <row r="143" spans="13:24" x14ac:dyDescent="0.2">
      <c r="M143" s="12"/>
      <c r="N143" s="12"/>
      <c r="O143" s="12"/>
      <c r="P143" s="12"/>
      <c r="Q143" s="12"/>
      <c r="R143" s="12"/>
      <c r="W143" s="12"/>
      <c r="X143" s="12"/>
    </row>
    <row r="144" spans="13:24" x14ac:dyDescent="0.2">
      <c r="M144" s="12"/>
      <c r="N144" s="12"/>
      <c r="O144" s="12"/>
      <c r="P144" s="12"/>
      <c r="Q144" s="12"/>
      <c r="R144" s="12"/>
      <c r="W144" s="12"/>
      <c r="X144" s="12"/>
    </row>
    <row r="145" spans="13:24" x14ac:dyDescent="0.2">
      <c r="M145" s="12"/>
      <c r="N145" s="12"/>
      <c r="O145" s="12"/>
      <c r="P145" s="12"/>
      <c r="Q145" s="12"/>
      <c r="R145" s="12"/>
      <c r="W145" s="12"/>
      <c r="X145" s="12"/>
    </row>
    <row r="146" spans="13:24" x14ac:dyDescent="0.2">
      <c r="M146" s="12"/>
      <c r="N146" s="12"/>
      <c r="O146" s="12"/>
      <c r="P146" s="12"/>
      <c r="Q146" s="12"/>
      <c r="R146" s="12"/>
      <c r="W146" s="12"/>
      <c r="X146" s="12"/>
    </row>
    <row r="147" spans="13:24" x14ac:dyDescent="0.2">
      <c r="M147" s="12"/>
      <c r="N147" s="12"/>
      <c r="O147" s="12"/>
      <c r="P147" s="12"/>
      <c r="Q147" s="12"/>
      <c r="R147" s="12"/>
      <c r="W147" s="12"/>
      <c r="X147" s="12"/>
    </row>
    <row r="148" spans="13:24" x14ac:dyDescent="0.2">
      <c r="M148" s="12"/>
      <c r="N148" s="12"/>
      <c r="O148" s="12"/>
      <c r="P148" s="12"/>
      <c r="Q148" s="12"/>
      <c r="R148" s="12"/>
      <c r="W148" s="12"/>
      <c r="X148" s="12"/>
    </row>
    <row r="149" spans="13:24" x14ac:dyDescent="0.2">
      <c r="M149" s="12"/>
      <c r="N149" s="12"/>
      <c r="O149" s="12"/>
      <c r="P149" s="12"/>
      <c r="Q149" s="12"/>
      <c r="R149" s="12"/>
      <c r="W149" s="12"/>
      <c r="X149" s="12"/>
    </row>
    <row r="150" spans="13:24" x14ac:dyDescent="0.2">
      <c r="M150" s="12"/>
      <c r="N150" s="12"/>
      <c r="O150" s="12"/>
      <c r="P150" s="12"/>
      <c r="Q150" s="12"/>
      <c r="R150" s="12"/>
      <c r="W150" s="12"/>
      <c r="X150" s="12"/>
    </row>
    <row r="151" spans="13:24" x14ac:dyDescent="0.2">
      <c r="M151" s="12"/>
      <c r="N151" s="12"/>
      <c r="O151" s="12"/>
      <c r="P151" s="12"/>
      <c r="Q151" s="12"/>
      <c r="R151" s="12"/>
      <c r="W151" s="12"/>
      <c r="X151" s="12"/>
    </row>
    <row r="152" spans="13:24" x14ac:dyDescent="0.2">
      <c r="M152" s="12"/>
      <c r="N152" s="12"/>
      <c r="O152" s="12"/>
      <c r="P152" s="12"/>
      <c r="Q152" s="12"/>
      <c r="R152" s="12"/>
      <c r="W152" s="12"/>
      <c r="X152" s="12"/>
    </row>
    <row r="153" spans="13:24" x14ac:dyDescent="0.2">
      <c r="M153" s="12"/>
      <c r="N153" s="12"/>
      <c r="O153" s="12"/>
      <c r="P153" s="12"/>
      <c r="Q153" s="12"/>
      <c r="R153" s="12"/>
      <c r="W153" s="12"/>
      <c r="X153" s="12"/>
    </row>
    <row r="154" spans="13:24" x14ac:dyDescent="0.2">
      <c r="M154" s="12"/>
      <c r="N154" s="12"/>
      <c r="O154" s="12"/>
      <c r="P154" s="12"/>
      <c r="Q154" s="12"/>
      <c r="R154" s="12"/>
      <c r="W154" s="12"/>
      <c r="X154" s="12"/>
    </row>
    <row r="155" spans="13:24" x14ac:dyDescent="0.2">
      <c r="M155" s="12"/>
      <c r="N155" s="12"/>
      <c r="O155" s="12"/>
      <c r="P155" s="12"/>
      <c r="Q155" s="12"/>
      <c r="R155" s="12"/>
      <c r="W155" s="12"/>
      <c r="X155" s="12"/>
    </row>
    <row r="156" spans="13:24" x14ac:dyDescent="0.2">
      <c r="M156" s="12"/>
      <c r="N156" s="12"/>
      <c r="O156" s="12"/>
      <c r="P156" s="12"/>
      <c r="Q156" s="12"/>
      <c r="R156" s="12"/>
      <c r="W156" s="12"/>
      <c r="X156" s="12"/>
    </row>
    <row r="157" spans="13:24" x14ac:dyDescent="0.2">
      <c r="M157" s="12"/>
      <c r="N157" s="12"/>
      <c r="O157" s="12"/>
      <c r="P157" s="12"/>
      <c r="Q157" s="12"/>
      <c r="R157" s="12"/>
      <c r="W157" s="12"/>
      <c r="X157" s="12"/>
    </row>
    <row r="158" spans="13:24" x14ac:dyDescent="0.2">
      <c r="M158" s="12"/>
      <c r="N158" s="12"/>
      <c r="O158" s="12"/>
      <c r="P158" s="12"/>
      <c r="Q158" s="12"/>
      <c r="R158" s="12"/>
      <c r="W158" s="12"/>
      <c r="X158" s="12"/>
    </row>
    <row r="159" spans="13:24" x14ac:dyDescent="0.2">
      <c r="M159" s="12"/>
      <c r="N159" s="12"/>
      <c r="O159" s="12"/>
      <c r="P159" s="12"/>
      <c r="Q159" s="12"/>
      <c r="R159" s="12"/>
      <c r="W159" s="12"/>
      <c r="X159" s="12"/>
    </row>
    <row r="160" spans="13:24" x14ac:dyDescent="0.2">
      <c r="M160" s="12"/>
      <c r="N160" s="12"/>
      <c r="O160" s="12"/>
      <c r="P160" s="12"/>
      <c r="Q160" s="12"/>
      <c r="R160" s="12"/>
      <c r="W160" s="12"/>
      <c r="X160" s="12"/>
    </row>
    <row r="161" spans="13:24" x14ac:dyDescent="0.2">
      <c r="M161" s="12"/>
      <c r="N161" s="12"/>
      <c r="O161" s="12"/>
      <c r="P161" s="12"/>
      <c r="Q161" s="12"/>
      <c r="R161" s="12"/>
      <c r="W161" s="12"/>
      <c r="X161" s="12"/>
    </row>
    <row r="162" spans="13:24" x14ac:dyDescent="0.2">
      <c r="M162" s="12"/>
      <c r="N162" s="12"/>
      <c r="O162" s="12"/>
      <c r="P162" s="12"/>
      <c r="Q162" s="12"/>
      <c r="R162" s="12"/>
      <c r="W162" s="12"/>
      <c r="X162" s="12"/>
    </row>
    <row r="163" spans="13:24" x14ac:dyDescent="0.2">
      <c r="M163" s="12"/>
      <c r="N163" s="12"/>
      <c r="O163" s="12"/>
      <c r="P163" s="12"/>
      <c r="Q163" s="12"/>
      <c r="R163" s="12"/>
      <c r="W163" s="12"/>
      <c r="X163" s="12"/>
    </row>
    <row r="164" spans="13:24" x14ac:dyDescent="0.2">
      <c r="M164" s="12"/>
      <c r="N164" s="12"/>
      <c r="O164" s="12"/>
      <c r="P164" s="12"/>
      <c r="Q164" s="12"/>
      <c r="R164" s="12"/>
      <c r="W164" s="12"/>
      <c r="X164" s="12"/>
    </row>
    <row r="165" spans="13:24" x14ac:dyDescent="0.2">
      <c r="M165" s="12"/>
      <c r="N165" s="12"/>
      <c r="O165" s="12"/>
      <c r="P165" s="12"/>
      <c r="Q165" s="12"/>
      <c r="R165" s="12"/>
      <c r="W165" s="12"/>
      <c r="X165" s="12"/>
    </row>
    <row r="166" spans="13:24" x14ac:dyDescent="0.2">
      <c r="M166" s="12"/>
      <c r="N166" s="12"/>
      <c r="O166" s="12"/>
      <c r="P166" s="12"/>
      <c r="Q166" s="12"/>
      <c r="R166" s="12"/>
      <c r="W166" s="12"/>
      <c r="X166" s="12"/>
    </row>
    <row r="167" spans="13:24" x14ac:dyDescent="0.2">
      <c r="M167" s="12"/>
      <c r="N167" s="12"/>
      <c r="O167" s="12"/>
      <c r="P167" s="12"/>
      <c r="Q167" s="12"/>
      <c r="R167" s="12"/>
      <c r="W167" s="12"/>
      <c r="X167" s="12"/>
    </row>
    <row r="168" spans="13:24" x14ac:dyDescent="0.2">
      <c r="M168" s="12"/>
      <c r="N168" s="12"/>
      <c r="O168" s="12"/>
      <c r="P168" s="12"/>
      <c r="Q168" s="12"/>
      <c r="R168" s="12"/>
      <c r="W168" s="12"/>
      <c r="X168" s="12"/>
    </row>
    <row r="169" spans="13:24" x14ac:dyDescent="0.2">
      <c r="M169" s="12"/>
      <c r="N169" s="12"/>
      <c r="O169" s="12"/>
      <c r="P169" s="12"/>
      <c r="Q169" s="12"/>
      <c r="R169" s="12"/>
      <c r="W169" s="12"/>
      <c r="X169" s="12"/>
    </row>
    <row r="170" spans="13:24" x14ac:dyDescent="0.2">
      <c r="M170" s="12"/>
      <c r="N170" s="12"/>
      <c r="O170" s="12"/>
      <c r="P170" s="12"/>
      <c r="Q170" s="12"/>
      <c r="R170" s="12"/>
      <c r="W170" s="12"/>
      <c r="X170" s="12"/>
    </row>
    <row r="171" spans="13:24" x14ac:dyDescent="0.2">
      <c r="M171" s="12"/>
      <c r="N171" s="12"/>
      <c r="O171" s="12"/>
      <c r="P171" s="12"/>
      <c r="Q171" s="12"/>
      <c r="R171" s="12"/>
      <c r="W171" s="12"/>
      <c r="X171" s="12"/>
    </row>
    <row r="172" spans="13:24" x14ac:dyDescent="0.2">
      <c r="M172" s="12"/>
      <c r="N172" s="12"/>
      <c r="O172" s="12"/>
      <c r="P172" s="12"/>
      <c r="Q172" s="12"/>
      <c r="R172" s="12"/>
      <c r="W172" s="12"/>
      <c r="X172" s="12"/>
    </row>
    <row r="173" spans="13:24" x14ac:dyDescent="0.2">
      <c r="M173" s="12"/>
      <c r="N173" s="12"/>
      <c r="O173" s="12"/>
      <c r="P173" s="12"/>
      <c r="Q173" s="12"/>
      <c r="R173" s="12"/>
      <c r="W173" s="12"/>
      <c r="X173" s="12"/>
    </row>
    <row r="174" spans="13:24" x14ac:dyDescent="0.2">
      <c r="M174" s="12"/>
      <c r="N174" s="12"/>
      <c r="O174" s="12"/>
      <c r="P174" s="12"/>
      <c r="Q174" s="12"/>
      <c r="R174" s="12"/>
      <c r="W174" s="12"/>
      <c r="X174" s="12"/>
    </row>
    <row r="175" spans="13:24" x14ac:dyDescent="0.2">
      <c r="M175" s="12"/>
      <c r="N175" s="12"/>
      <c r="O175" s="12"/>
      <c r="P175" s="12"/>
      <c r="Q175" s="12"/>
      <c r="R175" s="12"/>
      <c r="W175" s="12"/>
      <c r="X175" s="12"/>
    </row>
    <row r="176" spans="13:24" x14ac:dyDescent="0.2">
      <c r="M176" s="12"/>
      <c r="N176" s="12"/>
      <c r="O176" s="12"/>
      <c r="P176" s="12"/>
      <c r="Q176" s="12"/>
      <c r="R176" s="12"/>
      <c r="W176" s="12"/>
      <c r="X176" s="12"/>
    </row>
    <row r="177" spans="13:24" x14ac:dyDescent="0.2">
      <c r="M177" s="12"/>
      <c r="N177" s="12"/>
      <c r="O177" s="12"/>
      <c r="P177" s="12"/>
      <c r="Q177" s="12"/>
      <c r="R177" s="12"/>
      <c r="W177" s="12"/>
      <c r="X177" s="12"/>
    </row>
    <row r="178" spans="13:24" x14ac:dyDescent="0.2">
      <c r="M178" s="12"/>
      <c r="N178" s="12"/>
      <c r="O178" s="12"/>
      <c r="P178" s="12"/>
      <c r="Q178" s="12"/>
      <c r="R178" s="12"/>
      <c r="W178" s="12"/>
      <c r="X178" s="12"/>
    </row>
    <row r="179" spans="13:24" x14ac:dyDescent="0.2">
      <c r="M179" s="12"/>
      <c r="N179" s="12"/>
      <c r="O179" s="12"/>
      <c r="P179" s="12"/>
      <c r="Q179" s="12"/>
      <c r="R179" s="12"/>
      <c r="W179" s="12"/>
      <c r="X179" s="12"/>
    </row>
    <row r="180" spans="13:24" x14ac:dyDescent="0.2">
      <c r="M180" s="12"/>
      <c r="N180" s="12"/>
      <c r="O180" s="12"/>
      <c r="P180" s="12"/>
      <c r="Q180" s="12"/>
      <c r="R180" s="12"/>
      <c r="W180" s="12"/>
      <c r="X180" s="12"/>
    </row>
    <row r="181" spans="13:24" x14ac:dyDescent="0.2">
      <c r="M181" s="12"/>
      <c r="N181" s="12"/>
      <c r="O181" s="12"/>
      <c r="P181" s="12"/>
      <c r="Q181" s="12"/>
      <c r="R181" s="12"/>
      <c r="W181" s="12"/>
      <c r="X181" s="12"/>
    </row>
    <row r="182" spans="13:24" x14ac:dyDescent="0.2">
      <c r="M182" s="12"/>
      <c r="N182" s="12"/>
      <c r="O182" s="12"/>
      <c r="P182" s="12"/>
      <c r="Q182" s="12"/>
      <c r="R182" s="12"/>
      <c r="W182" s="12"/>
      <c r="X182" s="12"/>
    </row>
    <row r="183" spans="13:24" x14ac:dyDescent="0.2">
      <c r="M183" s="12"/>
      <c r="N183" s="12"/>
      <c r="O183" s="12"/>
      <c r="P183" s="12"/>
      <c r="Q183" s="12"/>
      <c r="R183" s="12"/>
      <c r="W183" s="12"/>
      <c r="X183" s="12"/>
    </row>
    <row r="184" spans="13:24" x14ac:dyDescent="0.2">
      <c r="M184" s="12"/>
      <c r="N184" s="12"/>
      <c r="O184" s="12"/>
      <c r="P184" s="12"/>
      <c r="Q184" s="12"/>
      <c r="R184" s="12"/>
      <c r="W184" s="12"/>
      <c r="X184" s="12"/>
    </row>
    <row r="185" spans="13:24" x14ac:dyDescent="0.2">
      <c r="M185" s="12"/>
      <c r="N185" s="12"/>
      <c r="O185" s="12"/>
      <c r="P185" s="12"/>
      <c r="Q185" s="12"/>
      <c r="R185" s="12"/>
      <c r="W185" s="12"/>
      <c r="X185" s="12"/>
    </row>
    <row r="186" spans="13:24" x14ac:dyDescent="0.2">
      <c r="M186" s="12"/>
      <c r="N186" s="12"/>
      <c r="O186" s="12"/>
      <c r="P186" s="12"/>
      <c r="Q186" s="12"/>
      <c r="R186" s="12"/>
      <c r="W186" s="12"/>
      <c r="X186" s="12"/>
    </row>
    <row r="187" spans="13:24" x14ac:dyDescent="0.2">
      <c r="M187" s="12"/>
      <c r="N187" s="12"/>
      <c r="O187" s="12"/>
      <c r="P187" s="12"/>
      <c r="Q187" s="12"/>
      <c r="R187" s="12"/>
      <c r="W187" s="12"/>
      <c r="X187" s="12"/>
    </row>
    <row r="188" spans="13:24" x14ac:dyDescent="0.2">
      <c r="M188" s="12"/>
      <c r="N188" s="12"/>
      <c r="O188" s="12"/>
      <c r="P188" s="12"/>
      <c r="Q188" s="12"/>
      <c r="R188" s="12"/>
      <c r="W188" s="12"/>
      <c r="X188" s="12"/>
    </row>
    <row r="189" spans="13:24" x14ac:dyDescent="0.2">
      <c r="M189" s="12"/>
      <c r="N189" s="12"/>
      <c r="O189" s="12"/>
      <c r="P189" s="12"/>
      <c r="Q189" s="12"/>
      <c r="R189" s="12"/>
      <c r="W189" s="12"/>
      <c r="X189" s="12"/>
    </row>
    <row r="190" spans="13:24" x14ac:dyDescent="0.2">
      <c r="M190" s="12"/>
      <c r="N190" s="12"/>
      <c r="O190" s="12"/>
      <c r="P190" s="12"/>
      <c r="Q190" s="12"/>
      <c r="R190" s="12"/>
      <c r="W190" s="12"/>
      <c r="X190" s="12"/>
    </row>
    <row r="191" spans="13:24" x14ac:dyDescent="0.2">
      <c r="M191" s="12"/>
      <c r="N191" s="12"/>
      <c r="O191" s="12"/>
      <c r="P191" s="12"/>
      <c r="Q191" s="12"/>
      <c r="R191" s="12"/>
      <c r="W191" s="12"/>
      <c r="X191" s="12"/>
    </row>
    <row r="192" spans="13:24" x14ac:dyDescent="0.2">
      <c r="M192" s="12"/>
      <c r="N192" s="12"/>
      <c r="O192" s="12"/>
      <c r="P192" s="12"/>
      <c r="Q192" s="12"/>
      <c r="R192" s="12"/>
      <c r="W192" s="12"/>
      <c r="X192" s="12"/>
    </row>
    <row r="193" spans="13:24" x14ac:dyDescent="0.2">
      <c r="M193" s="12"/>
      <c r="N193" s="12"/>
      <c r="O193" s="12"/>
      <c r="P193" s="12"/>
      <c r="Q193" s="12"/>
      <c r="R193" s="12"/>
      <c r="W193" s="12"/>
      <c r="X193" s="12"/>
    </row>
    <row r="194" spans="13:24" x14ac:dyDescent="0.2">
      <c r="M194" s="12"/>
      <c r="N194" s="12"/>
      <c r="O194" s="12"/>
      <c r="P194" s="12"/>
      <c r="Q194" s="12"/>
      <c r="R194" s="12"/>
      <c r="W194" s="12"/>
      <c r="X194" s="12"/>
    </row>
    <row r="195" spans="13:24" x14ac:dyDescent="0.2">
      <c r="M195" s="12"/>
      <c r="N195" s="12"/>
      <c r="O195" s="12"/>
      <c r="P195" s="12"/>
      <c r="Q195" s="12"/>
      <c r="R195" s="12"/>
      <c r="W195" s="12"/>
      <c r="X195" s="12"/>
    </row>
    <row r="196" spans="13:24" x14ac:dyDescent="0.2">
      <c r="M196" s="12"/>
      <c r="N196" s="12"/>
      <c r="O196" s="12"/>
      <c r="P196" s="12"/>
      <c r="Q196" s="12"/>
      <c r="R196" s="12"/>
      <c r="W196" s="12"/>
      <c r="X196" s="12"/>
    </row>
    <row r="197" spans="13:24" x14ac:dyDescent="0.2">
      <c r="M197" s="12"/>
      <c r="N197" s="12"/>
      <c r="O197" s="12"/>
      <c r="P197" s="12"/>
      <c r="Q197" s="12"/>
      <c r="R197" s="12"/>
      <c r="W197" s="12"/>
      <c r="X197" s="12"/>
    </row>
    <row r="198" spans="13:24" x14ac:dyDescent="0.2">
      <c r="M198" s="12"/>
      <c r="N198" s="12"/>
      <c r="O198" s="12"/>
      <c r="P198" s="12"/>
      <c r="Q198" s="12"/>
      <c r="R198" s="12"/>
      <c r="W198" s="12"/>
      <c r="X198" s="12"/>
    </row>
    <row r="199" spans="13:24" x14ac:dyDescent="0.2">
      <c r="M199" s="12"/>
      <c r="N199" s="12"/>
      <c r="O199" s="12"/>
      <c r="P199" s="12"/>
      <c r="Q199" s="12"/>
      <c r="R199" s="12"/>
      <c r="W199" s="12"/>
      <c r="X199" s="12"/>
    </row>
    <row r="200" spans="13:24" x14ac:dyDescent="0.2">
      <c r="M200" s="12"/>
      <c r="N200" s="12"/>
      <c r="O200" s="12"/>
      <c r="P200" s="12"/>
      <c r="Q200" s="12"/>
      <c r="R200" s="12"/>
      <c r="W200" s="12"/>
      <c r="X200" s="12"/>
    </row>
    <row r="201" spans="13:24" x14ac:dyDescent="0.2">
      <c r="M201" s="12"/>
      <c r="N201" s="12"/>
      <c r="O201" s="12"/>
      <c r="P201" s="12"/>
      <c r="Q201" s="12"/>
      <c r="R201" s="12"/>
      <c r="W201" s="12"/>
      <c r="X201" s="12"/>
    </row>
    <row r="202" spans="13:24" x14ac:dyDescent="0.2">
      <c r="M202" s="12"/>
      <c r="N202" s="12"/>
      <c r="O202" s="12"/>
      <c r="P202" s="12"/>
      <c r="Q202" s="12"/>
      <c r="R202" s="12"/>
      <c r="W202" s="12"/>
      <c r="X202" s="12"/>
    </row>
    <row r="203" spans="13:24" x14ac:dyDescent="0.2">
      <c r="M203" s="12"/>
      <c r="N203" s="12"/>
      <c r="O203" s="12"/>
      <c r="P203" s="12"/>
      <c r="Q203" s="12"/>
      <c r="R203" s="12"/>
      <c r="W203" s="12"/>
      <c r="X203" s="12"/>
    </row>
    <row r="204" spans="13:24" x14ac:dyDescent="0.2">
      <c r="M204" s="12"/>
      <c r="N204" s="12"/>
      <c r="O204" s="12"/>
      <c r="P204" s="12"/>
      <c r="Q204" s="12"/>
      <c r="R204" s="12"/>
      <c r="W204" s="12"/>
      <c r="X204" s="12"/>
    </row>
    <row r="205" spans="13:24" x14ac:dyDescent="0.2">
      <c r="M205" s="12"/>
      <c r="N205" s="12"/>
      <c r="O205" s="12"/>
      <c r="P205" s="12"/>
      <c r="Q205" s="12"/>
      <c r="R205" s="12"/>
      <c r="W205" s="12"/>
      <c r="X205" s="12"/>
    </row>
    <row r="206" spans="13:24" x14ac:dyDescent="0.2">
      <c r="M206" s="12"/>
      <c r="N206" s="12"/>
      <c r="O206" s="12"/>
      <c r="P206" s="12"/>
      <c r="Q206" s="12"/>
      <c r="R206" s="12"/>
      <c r="W206" s="12"/>
      <c r="X206" s="12"/>
    </row>
    <row r="207" spans="13:24" x14ac:dyDescent="0.2">
      <c r="M207" s="12"/>
      <c r="N207" s="12"/>
      <c r="O207" s="12"/>
      <c r="P207" s="12"/>
      <c r="Q207" s="12"/>
      <c r="R207" s="12"/>
      <c r="W207" s="12"/>
      <c r="X207" s="12"/>
    </row>
    <row r="208" spans="13:24" x14ac:dyDescent="0.2">
      <c r="M208" s="12"/>
      <c r="N208" s="12"/>
      <c r="O208" s="12"/>
      <c r="P208" s="12"/>
      <c r="Q208" s="12"/>
      <c r="R208" s="12"/>
      <c r="W208" s="12"/>
      <c r="X208" s="12"/>
    </row>
    <row r="209" spans="13:24" x14ac:dyDescent="0.2">
      <c r="M209" s="12"/>
      <c r="N209" s="12"/>
      <c r="O209" s="12"/>
      <c r="P209" s="12"/>
      <c r="Q209" s="12"/>
      <c r="R209" s="12"/>
      <c r="W209" s="12"/>
      <c r="X209" s="12"/>
    </row>
    <row r="210" spans="13:24" x14ac:dyDescent="0.2">
      <c r="M210" s="12"/>
      <c r="N210" s="12"/>
      <c r="O210" s="12"/>
      <c r="P210" s="12"/>
      <c r="Q210" s="12"/>
      <c r="R210" s="12"/>
      <c r="W210" s="12"/>
      <c r="X210" s="12"/>
    </row>
    <row r="211" spans="13:24" x14ac:dyDescent="0.2">
      <c r="M211" s="12"/>
      <c r="N211" s="12"/>
      <c r="O211" s="12"/>
      <c r="P211" s="12"/>
      <c r="Q211" s="12"/>
      <c r="R211" s="12"/>
      <c r="W211" s="12"/>
      <c r="X211" s="12"/>
    </row>
    <row r="212" spans="13:24" x14ac:dyDescent="0.2">
      <c r="M212" s="12"/>
      <c r="N212" s="12"/>
      <c r="O212" s="12"/>
      <c r="P212" s="12"/>
      <c r="Q212" s="12"/>
      <c r="R212" s="12"/>
      <c r="W212" s="12"/>
      <c r="X212" s="12"/>
    </row>
    <row r="213" spans="13:24" x14ac:dyDescent="0.2">
      <c r="M213" s="12"/>
      <c r="N213" s="12"/>
      <c r="O213" s="12"/>
      <c r="P213" s="12"/>
      <c r="Q213" s="12"/>
      <c r="R213" s="12"/>
      <c r="W213" s="12"/>
      <c r="X213" s="12"/>
    </row>
    <row r="214" spans="13:24" x14ac:dyDescent="0.2">
      <c r="M214" s="12"/>
      <c r="N214" s="12"/>
      <c r="O214" s="12"/>
      <c r="P214" s="12"/>
      <c r="Q214" s="12"/>
      <c r="R214" s="12"/>
      <c r="W214" s="12"/>
      <c r="X214" s="12"/>
    </row>
    <row r="215" spans="13:24" x14ac:dyDescent="0.2">
      <c r="M215" s="12"/>
      <c r="N215" s="12"/>
      <c r="O215" s="12"/>
      <c r="P215" s="12"/>
      <c r="Q215" s="12"/>
      <c r="R215" s="12"/>
      <c r="W215" s="12"/>
      <c r="X215" s="12"/>
    </row>
    <row r="216" spans="13:24" x14ac:dyDescent="0.2">
      <c r="M216" s="12"/>
      <c r="N216" s="12"/>
      <c r="O216" s="12"/>
      <c r="P216" s="12"/>
      <c r="Q216" s="12"/>
      <c r="R216" s="12"/>
      <c r="W216" s="12"/>
      <c r="X216" s="12"/>
    </row>
    <row r="217" spans="13:24" x14ac:dyDescent="0.2">
      <c r="M217" s="12"/>
      <c r="N217" s="12"/>
      <c r="O217" s="12"/>
      <c r="P217" s="12"/>
      <c r="Q217" s="12"/>
      <c r="R217" s="12"/>
      <c r="W217" s="12"/>
      <c r="X217" s="12"/>
    </row>
    <row r="218" spans="13:24" x14ac:dyDescent="0.2">
      <c r="M218" s="12"/>
      <c r="N218" s="12"/>
      <c r="O218" s="12"/>
      <c r="P218" s="12"/>
      <c r="Q218" s="12"/>
      <c r="R218" s="12"/>
      <c r="W218" s="12"/>
      <c r="X218" s="12"/>
    </row>
    <row r="219" spans="13:24" x14ac:dyDescent="0.2">
      <c r="M219" s="12"/>
      <c r="N219" s="12"/>
      <c r="O219" s="12"/>
      <c r="P219" s="12"/>
      <c r="Q219" s="12"/>
      <c r="R219" s="12"/>
      <c r="W219" s="12"/>
      <c r="X219" s="12"/>
    </row>
    <row r="220" spans="13:24" x14ac:dyDescent="0.2">
      <c r="M220" s="12"/>
      <c r="N220" s="12"/>
      <c r="O220" s="12"/>
      <c r="P220" s="12"/>
      <c r="Q220" s="12"/>
      <c r="R220" s="12"/>
      <c r="W220" s="12"/>
      <c r="X220" s="12"/>
    </row>
    <row r="221" spans="13:24" x14ac:dyDescent="0.2">
      <c r="M221" s="12"/>
      <c r="N221" s="12"/>
      <c r="O221" s="12"/>
      <c r="P221" s="12"/>
      <c r="Q221" s="12"/>
      <c r="R221" s="12"/>
      <c r="W221" s="12"/>
      <c r="X221" s="12"/>
    </row>
    <row r="222" spans="13:24" x14ac:dyDescent="0.2">
      <c r="M222" s="12"/>
      <c r="N222" s="12"/>
      <c r="O222" s="12"/>
      <c r="P222" s="12"/>
      <c r="Q222" s="12"/>
      <c r="R222" s="12"/>
      <c r="W222" s="12"/>
      <c r="X222" s="12"/>
    </row>
    <row r="223" spans="13:24" x14ac:dyDescent="0.2">
      <c r="M223" s="12"/>
      <c r="N223" s="12"/>
      <c r="O223" s="12"/>
      <c r="P223" s="12"/>
      <c r="Q223" s="12"/>
      <c r="R223" s="12"/>
      <c r="W223" s="12"/>
      <c r="X223" s="12"/>
    </row>
    <row r="224" spans="13:24" x14ac:dyDescent="0.2">
      <c r="M224" s="12"/>
      <c r="N224" s="12"/>
      <c r="O224" s="12"/>
      <c r="P224" s="12"/>
      <c r="Q224" s="12"/>
      <c r="R224" s="12"/>
      <c r="W224" s="12"/>
      <c r="X224" s="12"/>
    </row>
    <row r="225" spans="13:24" x14ac:dyDescent="0.2">
      <c r="M225" s="12"/>
      <c r="N225" s="12"/>
      <c r="O225" s="12"/>
      <c r="P225" s="12"/>
      <c r="Q225" s="12"/>
      <c r="R225" s="12"/>
      <c r="W225" s="12"/>
      <c r="X225" s="12"/>
    </row>
    <row r="226" spans="13:24" x14ac:dyDescent="0.2">
      <c r="M226" s="12"/>
      <c r="N226" s="12"/>
      <c r="O226" s="12"/>
      <c r="P226" s="12"/>
      <c r="Q226" s="12"/>
      <c r="R226" s="12"/>
      <c r="W226" s="12"/>
      <c r="X226" s="12"/>
    </row>
    <row r="227" spans="13:24" x14ac:dyDescent="0.2">
      <c r="M227" s="12"/>
      <c r="N227" s="12"/>
      <c r="O227" s="12"/>
      <c r="P227" s="12"/>
      <c r="Q227" s="12"/>
      <c r="R227" s="12"/>
      <c r="W227" s="12"/>
      <c r="X227" s="12"/>
    </row>
    <row r="228" spans="13:24" x14ac:dyDescent="0.2">
      <c r="M228" s="12"/>
      <c r="N228" s="12"/>
      <c r="O228" s="12"/>
      <c r="P228" s="12"/>
      <c r="Q228" s="12"/>
      <c r="R228" s="12"/>
      <c r="W228" s="12"/>
      <c r="X228" s="12"/>
    </row>
    <row r="229" spans="13:24" x14ac:dyDescent="0.2">
      <c r="M229" s="12"/>
      <c r="N229" s="12"/>
      <c r="O229" s="12"/>
      <c r="P229" s="12"/>
      <c r="Q229" s="12"/>
      <c r="R229" s="12"/>
      <c r="W229" s="12"/>
      <c r="X229" s="12"/>
    </row>
    <row r="230" spans="13:24" x14ac:dyDescent="0.2">
      <c r="M230" s="12"/>
      <c r="N230" s="12"/>
      <c r="O230" s="12"/>
      <c r="P230" s="12"/>
      <c r="Q230" s="12"/>
      <c r="R230" s="12"/>
      <c r="W230" s="12"/>
      <c r="X230" s="12"/>
    </row>
    <row r="231" spans="13:24" x14ac:dyDescent="0.2">
      <c r="M231" s="12"/>
      <c r="N231" s="12"/>
      <c r="O231" s="12"/>
      <c r="P231" s="12"/>
      <c r="Q231" s="12"/>
      <c r="R231" s="12"/>
      <c r="W231" s="12"/>
      <c r="X231" s="12"/>
    </row>
    <row r="232" spans="13:24" x14ac:dyDescent="0.2">
      <c r="M232" s="12"/>
      <c r="N232" s="12"/>
      <c r="O232" s="12"/>
      <c r="P232" s="12"/>
      <c r="Q232" s="12"/>
      <c r="R232" s="12"/>
      <c r="W232" s="12"/>
      <c r="X232" s="12"/>
    </row>
    <row r="233" spans="13:24" x14ac:dyDescent="0.2">
      <c r="M233" s="12"/>
      <c r="N233" s="12"/>
      <c r="O233" s="12"/>
      <c r="P233" s="12"/>
      <c r="Q233" s="12"/>
      <c r="R233" s="12"/>
      <c r="W233" s="12"/>
      <c r="X233" s="12"/>
    </row>
    <row r="234" spans="13:24" x14ac:dyDescent="0.2">
      <c r="M234" s="12"/>
      <c r="N234" s="12"/>
      <c r="O234" s="12"/>
      <c r="P234" s="12"/>
      <c r="Q234" s="12"/>
      <c r="R234" s="12"/>
      <c r="W234" s="12"/>
      <c r="X234" s="12"/>
    </row>
    <row r="235" spans="13:24" x14ac:dyDescent="0.2">
      <c r="M235" s="12"/>
      <c r="N235" s="12"/>
      <c r="O235" s="12"/>
      <c r="P235" s="12"/>
      <c r="Q235" s="12"/>
      <c r="R235" s="12"/>
      <c r="W235" s="12"/>
      <c r="X235" s="12"/>
    </row>
    <row r="236" spans="13:24" x14ac:dyDescent="0.2">
      <c r="M236" s="12"/>
      <c r="N236" s="12"/>
      <c r="O236" s="12"/>
      <c r="P236" s="12"/>
      <c r="Q236" s="12"/>
      <c r="R236" s="12"/>
      <c r="W236" s="12"/>
      <c r="X236" s="12"/>
    </row>
    <row r="237" spans="13:24" x14ac:dyDescent="0.2">
      <c r="M237" s="12"/>
      <c r="N237" s="12"/>
      <c r="O237" s="12"/>
      <c r="P237" s="12"/>
      <c r="Q237" s="12"/>
      <c r="R237" s="12"/>
      <c r="W237" s="12"/>
      <c r="X237" s="12"/>
    </row>
    <row r="238" spans="13:24" x14ac:dyDescent="0.2">
      <c r="M238" s="12"/>
      <c r="N238" s="12"/>
      <c r="O238" s="12"/>
      <c r="P238" s="12"/>
      <c r="Q238" s="12"/>
      <c r="R238" s="12"/>
      <c r="W238" s="12"/>
      <c r="X238" s="12"/>
    </row>
    <row r="239" spans="13:24" x14ac:dyDescent="0.2">
      <c r="M239" s="12"/>
      <c r="N239" s="12"/>
      <c r="O239" s="12"/>
      <c r="P239" s="12"/>
      <c r="Q239" s="12"/>
      <c r="R239" s="12"/>
      <c r="W239" s="12"/>
      <c r="X239" s="12"/>
    </row>
    <row r="240" spans="13:24" x14ac:dyDescent="0.2">
      <c r="M240" s="12"/>
      <c r="N240" s="12"/>
      <c r="O240" s="12"/>
      <c r="P240" s="12"/>
      <c r="Q240" s="12"/>
      <c r="R240" s="12"/>
      <c r="W240" s="12"/>
      <c r="X240" s="12"/>
    </row>
    <row r="241" spans="13:24" x14ac:dyDescent="0.2">
      <c r="M241" s="12"/>
      <c r="N241" s="12"/>
      <c r="O241" s="12"/>
      <c r="P241" s="12"/>
      <c r="Q241" s="12"/>
      <c r="R241" s="12"/>
      <c r="W241" s="12"/>
      <c r="X241" s="12"/>
    </row>
    <row r="242" spans="13:24" x14ac:dyDescent="0.2">
      <c r="M242" s="12"/>
      <c r="N242" s="12"/>
      <c r="O242" s="12"/>
      <c r="P242" s="12"/>
      <c r="Q242" s="12"/>
      <c r="R242" s="12"/>
      <c r="W242" s="12"/>
      <c r="X242" s="12"/>
    </row>
    <row r="243" spans="13:24" x14ac:dyDescent="0.2">
      <c r="M243" s="12"/>
      <c r="N243" s="12"/>
      <c r="O243" s="12"/>
      <c r="P243" s="12"/>
      <c r="Q243" s="12"/>
      <c r="R243" s="12"/>
      <c r="W243" s="12"/>
      <c r="X243" s="12"/>
    </row>
    <row r="244" spans="13:24" x14ac:dyDescent="0.2">
      <c r="M244" s="12"/>
      <c r="N244" s="12"/>
      <c r="O244" s="12"/>
      <c r="P244" s="12"/>
      <c r="Q244" s="12"/>
      <c r="R244" s="12"/>
      <c r="W244" s="12"/>
      <c r="X244" s="12"/>
    </row>
    <row r="245" spans="13:24" x14ac:dyDescent="0.2">
      <c r="M245" s="12"/>
      <c r="N245" s="12"/>
      <c r="O245" s="12"/>
      <c r="P245" s="12"/>
      <c r="Q245" s="12"/>
      <c r="R245" s="12"/>
      <c r="W245" s="12"/>
      <c r="X245" s="12"/>
    </row>
    <row r="246" spans="13:24" x14ac:dyDescent="0.2">
      <c r="M246" s="12"/>
      <c r="N246" s="12"/>
      <c r="O246" s="12"/>
      <c r="P246" s="12"/>
      <c r="Q246" s="12"/>
      <c r="R246" s="12"/>
      <c r="W246" s="12"/>
      <c r="X246" s="12"/>
    </row>
    <row r="247" spans="13:24" x14ac:dyDescent="0.2">
      <c r="M247" s="12"/>
      <c r="N247" s="12"/>
      <c r="O247" s="12"/>
      <c r="P247" s="12"/>
      <c r="Q247" s="12"/>
      <c r="R247" s="12"/>
      <c r="W247" s="12"/>
      <c r="X247" s="12"/>
    </row>
    <row r="248" spans="13:24" x14ac:dyDescent="0.2">
      <c r="M248" s="12"/>
      <c r="N248" s="12"/>
      <c r="O248" s="12"/>
      <c r="P248" s="12"/>
      <c r="Q248" s="12"/>
      <c r="R248" s="12"/>
      <c r="W248" s="12"/>
      <c r="X248" s="12"/>
    </row>
    <row r="249" spans="13:24" x14ac:dyDescent="0.2">
      <c r="M249" s="12"/>
      <c r="N249" s="12"/>
      <c r="O249" s="12"/>
      <c r="P249" s="12"/>
      <c r="Q249" s="12"/>
      <c r="R249" s="12"/>
      <c r="W249" s="12"/>
      <c r="X249" s="12"/>
    </row>
    <row r="250" spans="13:24" x14ac:dyDescent="0.2">
      <c r="M250" s="12"/>
      <c r="N250" s="12"/>
      <c r="O250" s="12"/>
      <c r="P250" s="12"/>
      <c r="Q250" s="12"/>
      <c r="R250" s="12"/>
      <c r="W250" s="12"/>
      <c r="X250" s="12"/>
    </row>
    <row r="251" spans="13:24" x14ac:dyDescent="0.2">
      <c r="M251" s="12"/>
      <c r="N251" s="12"/>
      <c r="O251" s="12"/>
      <c r="P251" s="12"/>
      <c r="Q251" s="12"/>
      <c r="R251" s="12"/>
      <c r="W251" s="12"/>
      <c r="X251" s="12"/>
    </row>
    <row r="252" spans="13:24" x14ac:dyDescent="0.2">
      <c r="M252" s="12"/>
      <c r="N252" s="12"/>
      <c r="O252" s="12"/>
      <c r="P252" s="12"/>
      <c r="Q252" s="12"/>
      <c r="R252" s="12"/>
      <c r="W252" s="12"/>
      <c r="X252" s="12"/>
    </row>
    <row r="253" spans="13:24" x14ac:dyDescent="0.2">
      <c r="M253" s="12"/>
      <c r="N253" s="12"/>
      <c r="O253" s="12"/>
      <c r="P253" s="12"/>
      <c r="Q253" s="12"/>
      <c r="R253" s="12"/>
      <c r="W253" s="12"/>
      <c r="X253" s="12"/>
    </row>
    <row r="254" spans="13:24" x14ac:dyDescent="0.2">
      <c r="M254" s="12"/>
      <c r="N254" s="12"/>
      <c r="O254" s="12"/>
      <c r="P254" s="12"/>
      <c r="Q254" s="12"/>
      <c r="R254" s="12"/>
      <c r="W254" s="12"/>
      <c r="X254" s="12"/>
    </row>
    <row r="255" spans="13:24" x14ac:dyDescent="0.2">
      <c r="M255" s="12"/>
      <c r="N255" s="12"/>
      <c r="O255" s="12"/>
      <c r="P255" s="12"/>
      <c r="Q255" s="12"/>
      <c r="R255" s="12"/>
      <c r="W255" s="12"/>
      <c r="X255" s="12"/>
    </row>
    <row r="256" spans="13:24" x14ac:dyDescent="0.2">
      <c r="M256" s="12"/>
      <c r="N256" s="12"/>
      <c r="O256" s="12"/>
      <c r="P256" s="12"/>
      <c r="Q256" s="12"/>
      <c r="R256" s="12"/>
      <c r="W256" s="12"/>
      <c r="X256" s="12"/>
    </row>
    <row r="257" spans="13:24" x14ac:dyDescent="0.2">
      <c r="M257" s="12"/>
      <c r="N257" s="12"/>
      <c r="O257" s="12"/>
      <c r="P257" s="12"/>
      <c r="Q257" s="12"/>
      <c r="R257" s="12"/>
      <c r="W257" s="12"/>
      <c r="X257" s="12"/>
    </row>
    <row r="258" spans="13:24" x14ac:dyDescent="0.2">
      <c r="M258" s="12"/>
      <c r="N258" s="12"/>
      <c r="O258" s="12"/>
      <c r="P258" s="12"/>
      <c r="Q258" s="12"/>
      <c r="R258" s="12"/>
      <c r="W258" s="12"/>
      <c r="X258" s="12"/>
    </row>
    <row r="259" spans="13:24" x14ac:dyDescent="0.2">
      <c r="M259" s="12"/>
      <c r="N259" s="12"/>
      <c r="O259" s="12"/>
      <c r="P259" s="12"/>
      <c r="Q259" s="12"/>
      <c r="R259" s="12"/>
      <c r="W259" s="12"/>
      <c r="X259" s="12"/>
    </row>
    <row r="260" spans="13:24" x14ac:dyDescent="0.2">
      <c r="M260" s="12"/>
      <c r="N260" s="12"/>
      <c r="O260" s="12"/>
      <c r="P260" s="12"/>
      <c r="Q260" s="12"/>
      <c r="R260" s="12"/>
      <c r="W260" s="12"/>
      <c r="X260" s="12"/>
    </row>
    <row r="261" spans="13:24" x14ac:dyDescent="0.2">
      <c r="M261" s="12"/>
      <c r="N261" s="12"/>
      <c r="O261" s="12"/>
      <c r="P261" s="12"/>
      <c r="Q261" s="12"/>
      <c r="R261" s="12"/>
      <c r="W261" s="12"/>
      <c r="X261" s="12"/>
    </row>
    <row r="262" spans="13:24" x14ac:dyDescent="0.2">
      <c r="M262" s="12"/>
      <c r="N262" s="12"/>
      <c r="O262" s="12"/>
      <c r="P262" s="12"/>
      <c r="Q262" s="12"/>
      <c r="R262" s="12"/>
      <c r="W262" s="12"/>
      <c r="X262" s="12"/>
    </row>
    <row r="263" spans="13:24" x14ac:dyDescent="0.2">
      <c r="M263" s="12"/>
      <c r="N263" s="12"/>
      <c r="O263" s="12"/>
      <c r="P263" s="12"/>
      <c r="Q263" s="12"/>
      <c r="R263" s="12"/>
      <c r="W263" s="12"/>
      <c r="X263" s="12"/>
    </row>
    <row r="264" spans="13:24" x14ac:dyDescent="0.2">
      <c r="M264" s="12"/>
      <c r="N264" s="12"/>
      <c r="O264" s="12"/>
      <c r="P264" s="12"/>
      <c r="Q264" s="12"/>
      <c r="R264" s="12"/>
      <c r="W264" s="12"/>
      <c r="X264" s="12"/>
    </row>
    <row r="265" spans="13:24" x14ac:dyDescent="0.2">
      <c r="M265" s="12"/>
      <c r="N265" s="12"/>
      <c r="O265" s="12"/>
      <c r="P265" s="12"/>
      <c r="Q265" s="12"/>
      <c r="R265" s="12"/>
      <c r="W265" s="12"/>
      <c r="X265" s="12"/>
    </row>
    <row r="266" spans="13:24" x14ac:dyDescent="0.2">
      <c r="M266" s="12"/>
      <c r="N266" s="12"/>
      <c r="O266" s="12"/>
      <c r="P266" s="12"/>
      <c r="Q266" s="12"/>
      <c r="R266" s="12"/>
      <c r="W266" s="12"/>
      <c r="X266" s="12"/>
    </row>
    <row r="267" spans="13:24" x14ac:dyDescent="0.2">
      <c r="M267" s="12"/>
      <c r="N267" s="12"/>
      <c r="O267" s="12"/>
      <c r="P267" s="12"/>
      <c r="Q267" s="12"/>
      <c r="R267" s="12"/>
      <c r="W267" s="12"/>
      <c r="X267" s="12"/>
    </row>
    <row r="268" spans="13:24" x14ac:dyDescent="0.2">
      <c r="M268" s="12"/>
      <c r="N268" s="12"/>
      <c r="O268" s="12"/>
      <c r="P268" s="12"/>
      <c r="Q268" s="12"/>
      <c r="R268" s="12"/>
      <c r="W268" s="12"/>
      <c r="X268" s="12"/>
    </row>
    <row r="269" spans="13:24" x14ac:dyDescent="0.2">
      <c r="M269" s="12"/>
      <c r="N269" s="12"/>
      <c r="O269" s="12"/>
      <c r="P269" s="12"/>
      <c r="Q269" s="12"/>
      <c r="R269" s="12"/>
      <c r="W269" s="12"/>
      <c r="X269" s="12"/>
    </row>
    <row r="270" spans="13:24" x14ac:dyDescent="0.2">
      <c r="M270" s="12"/>
      <c r="N270" s="12"/>
      <c r="O270" s="12"/>
      <c r="P270" s="12"/>
      <c r="Q270" s="12"/>
      <c r="R270" s="12"/>
      <c r="W270" s="12"/>
      <c r="X270" s="12"/>
    </row>
    <row r="271" spans="13:24" x14ac:dyDescent="0.2">
      <c r="M271" s="12"/>
      <c r="N271" s="12"/>
      <c r="O271" s="12"/>
      <c r="P271" s="12"/>
      <c r="Q271" s="12"/>
      <c r="R271" s="12"/>
      <c r="W271" s="12"/>
      <c r="X271" s="12"/>
    </row>
    <row r="272" spans="13:24" x14ac:dyDescent="0.2">
      <c r="M272" s="12"/>
      <c r="N272" s="12"/>
      <c r="O272" s="12"/>
      <c r="P272" s="12"/>
      <c r="Q272" s="12"/>
      <c r="R272" s="12"/>
      <c r="W272" s="12"/>
      <c r="X272" s="12"/>
    </row>
    <row r="273" spans="13:24" x14ac:dyDescent="0.2">
      <c r="M273" s="12"/>
      <c r="N273" s="12"/>
      <c r="O273" s="12"/>
      <c r="P273" s="12"/>
      <c r="Q273" s="12"/>
      <c r="R273" s="12"/>
      <c r="W273" s="12"/>
      <c r="X273" s="12"/>
    </row>
    <row r="274" spans="13:24" x14ac:dyDescent="0.2">
      <c r="M274" s="12"/>
      <c r="N274" s="12"/>
      <c r="O274" s="12"/>
      <c r="P274" s="12"/>
      <c r="Q274" s="12"/>
      <c r="R274" s="12"/>
      <c r="W274" s="12"/>
      <c r="X274" s="12"/>
    </row>
    <row r="275" spans="13:24" x14ac:dyDescent="0.2">
      <c r="M275" s="12"/>
      <c r="N275" s="12"/>
      <c r="O275" s="12"/>
      <c r="P275" s="12"/>
      <c r="Q275" s="12"/>
      <c r="R275" s="12"/>
      <c r="W275" s="12"/>
      <c r="X275" s="12"/>
    </row>
    <row r="276" spans="13:24" x14ac:dyDescent="0.2">
      <c r="M276" s="12"/>
      <c r="N276" s="12"/>
      <c r="O276" s="12"/>
      <c r="P276" s="12"/>
      <c r="Q276" s="12"/>
      <c r="R276" s="12"/>
      <c r="W276" s="12"/>
      <c r="X276" s="12"/>
    </row>
    <row r="277" spans="13:24" x14ac:dyDescent="0.2">
      <c r="M277" s="12"/>
      <c r="N277" s="12"/>
      <c r="O277" s="12"/>
      <c r="P277" s="12"/>
      <c r="Q277" s="12"/>
      <c r="R277" s="12"/>
      <c r="W277" s="12"/>
      <c r="X277" s="12"/>
    </row>
    <row r="278" spans="13:24" x14ac:dyDescent="0.2">
      <c r="M278" s="12"/>
      <c r="N278" s="12"/>
      <c r="O278" s="12"/>
      <c r="P278" s="12"/>
      <c r="Q278" s="12"/>
      <c r="R278" s="12"/>
      <c r="W278" s="12"/>
      <c r="X278" s="12"/>
    </row>
    <row r="279" spans="13:24" x14ac:dyDescent="0.2">
      <c r="M279" s="12"/>
      <c r="N279" s="12"/>
      <c r="O279" s="12"/>
      <c r="P279" s="12"/>
      <c r="Q279" s="12"/>
      <c r="R279" s="12"/>
      <c r="W279" s="12"/>
      <c r="X279" s="12"/>
    </row>
    <row r="280" spans="13:24" x14ac:dyDescent="0.2">
      <c r="M280" s="12"/>
      <c r="N280" s="12"/>
      <c r="O280" s="12"/>
      <c r="P280" s="12"/>
      <c r="Q280" s="12"/>
      <c r="R280" s="12"/>
      <c r="W280" s="12"/>
      <c r="X280" s="12"/>
    </row>
    <row r="281" spans="13:24" x14ac:dyDescent="0.2">
      <c r="M281" s="12"/>
      <c r="N281" s="12"/>
      <c r="O281" s="12"/>
      <c r="P281" s="12"/>
      <c r="Q281" s="12"/>
      <c r="R281" s="12"/>
      <c r="W281" s="12"/>
      <c r="X281" s="12"/>
    </row>
    <row r="282" spans="13:24" x14ac:dyDescent="0.2">
      <c r="M282" s="12"/>
      <c r="N282" s="12"/>
      <c r="O282" s="12"/>
      <c r="P282" s="12"/>
      <c r="Q282" s="12"/>
      <c r="R282" s="12"/>
      <c r="W282" s="12"/>
      <c r="X282" s="12"/>
    </row>
    <row r="283" spans="13:24" x14ac:dyDescent="0.2">
      <c r="M283" s="12"/>
      <c r="N283" s="12"/>
      <c r="O283" s="12"/>
      <c r="P283" s="12"/>
      <c r="Q283" s="12"/>
      <c r="R283" s="12"/>
      <c r="W283" s="12"/>
      <c r="X283" s="12"/>
    </row>
    <row r="284" spans="13:24" x14ac:dyDescent="0.2">
      <c r="M284" s="12"/>
      <c r="N284" s="12"/>
      <c r="O284" s="12"/>
      <c r="P284" s="12"/>
      <c r="Q284" s="12"/>
      <c r="R284" s="12"/>
      <c r="W284" s="12"/>
      <c r="X284" s="12"/>
    </row>
    <row r="285" spans="13:24" x14ac:dyDescent="0.2">
      <c r="M285" s="12"/>
      <c r="N285" s="12"/>
      <c r="O285" s="12"/>
      <c r="P285" s="12"/>
      <c r="Q285" s="12"/>
      <c r="R285" s="12"/>
      <c r="W285" s="12"/>
      <c r="X285" s="12"/>
    </row>
    <row r="286" spans="13:24" x14ac:dyDescent="0.2">
      <c r="M286" s="12"/>
      <c r="N286" s="12"/>
      <c r="O286" s="12"/>
      <c r="P286" s="12"/>
      <c r="Q286" s="12"/>
      <c r="R286" s="12"/>
      <c r="W286" s="12"/>
      <c r="X286" s="12"/>
    </row>
    <row r="287" spans="13:24" x14ac:dyDescent="0.2">
      <c r="M287" s="12"/>
      <c r="N287" s="12"/>
      <c r="O287" s="12"/>
      <c r="P287" s="12"/>
      <c r="Q287" s="12"/>
      <c r="R287" s="12"/>
      <c r="W287" s="12"/>
      <c r="X287" s="12"/>
    </row>
    <row r="288" spans="13:24" x14ac:dyDescent="0.2">
      <c r="M288" s="12"/>
      <c r="N288" s="12"/>
      <c r="O288" s="12"/>
      <c r="P288" s="12"/>
      <c r="Q288" s="12"/>
      <c r="R288" s="12"/>
      <c r="W288" s="12"/>
      <c r="X288" s="12"/>
    </row>
    <row r="289" spans="13:24" x14ac:dyDescent="0.2">
      <c r="M289" s="12"/>
      <c r="N289" s="12"/>
      <c r="O289" s="12"/>
      <c r="P289" s="12"/>
      <c r="Q289" s="12"/>
      <c r="R289" s="12"/>
      <c r="W289" s="12"/>
      <c r="X289" s="12"/>
    </row>
    <row r="290" spans="13:24" x14ac:dyDescent="0.2">
      <c r="M290" s="12"/>
      <c r="N290" s="12"/>
      <c r="O290" s="12"/>
      <c r="P290" s="12"/>
      <c r="Q290" s="12"/>
      <c r="R290" s="12"/>
      <c r="W290" s="12"/>
      <c r="X290" s="12"/>
    </row>
    <row r="291" spans="13:24" x14ac:dyDescent="0.2">
      <c r="M291" s="12"/>
      <c r="N291" s="12"/>
      <c r="O291" s="12"/>
      <c r="P291" s="12"/>
      <c r="Q291" s="12"/>
      <c r="R291" s="12"/>
      <c r="W291" s="12"/>
      <c r="X291" s="12"/>
    </row>
    <row r="292" spans="13:24" x14ac:dyDescent="0.2">
      <c r="M292" s="12"/>
      <c r="N292" s="12"/>
      <c r="O292" s="12"/>
      <c r="P292" s="12"/>
      <c r="Q292" s="12"/>
      <c r="R292" s="12"/>
      <c r="W292" s="12"/>
      <c r="X292" s="12"/>
    </row>
    <row r="293" spans="13:24" x14ac:dyDescent="0.2">
      <c r="M293" s="12"/>
      <c r="N293" s="12"/>
      <c r="O293" s="12"/>
      <c r="P293" s="12"/>
      <c r="Q293" s="12"/>
      <c r="R293" s="12"/>
      <c r="W293" s="12"/>
      <c r="X293" s="12"/>
    </row>
    <row r="294" spans="13:24" x14ac:dyDescent="0.2">
      <c r="M294" s="12"/>
      <c r="N294" s="12"/>
      <c r="O294" s="12"/>
      <c r="P294" s="12"/>
      <c r="Q294" s="12"/>
      <c r="R294" s="12"/>
      <c r="W294" s="12"/>
      <c r="X294" s="12"/>
    </row>
    <row r="295" spans="13:24" x14ac:dyDescent="0.2">
      <c r="M295" s="12"/>
      <c r="N295" s="12"/>
      <c r="O295" s="12"/>
      <c r="P295" s="12"/>
      <c r="Q295" s="12"/>
      <c r="R295" s="12"/>
      <c r="W295" s="12"/>
      <c r="X295" s="12"/>
    </row>
    <row r="296" spans="13:24" x14ac:dyDescent="0.2">
      <c r="M296" s="12"/>
      <c r="N296" s="12"/>
      <c r="O296" s="12"/>
      <c r="P296" s="12"/>
      <c r="Q296" s="12"/>
      <c r="R296" s="12"/>
      <c r="W296" s="12"/>
      <c r="X296" s="12"/>
    </row>
    <row r="297" spans="13:24" x14ac:dyDescent="0.2">
      <c r="M297" s="12"/>
      <c r="N297" s="12"/>
      <c r="O297" s="12"/>
      <c r="P297" s="12"/>
      <c r="Q297" s="12"/>
      <c r="R297" s="12"/>
      <c r="W297" s="12"/>
      <c r="X297" s="12"/>
    </row>
    <row r="298" spans="13:24" x14ac:dyDescent="0.2">
      <c r="M298" s="12"/>
      <c r="N298" s="12"/>
      <c r="O298" s="12"/>
      <c r="P298" s="12"/>
      <c r="Q298" s="12"/>
      <c r="R298" s="12"/>
      <c r="W298" s="12"/>
      <c r="X298" s="12"/>
    </row>
    <row r="299" spans="13:24" x14ac:dyDescent="0.2">
      <c r="M299" s="12"/>
      <c r="N299" s="12"/>
      <c r="O299" s="12"/>
      <c r="P299" s="12"/>
      <c r="Q299" s="12"/>
      <c r="R299" s="12"/>
      <c r="W299" s="12"/>
      <c r="X299" s="12"/>
    </row>
    <row r="300" spans="13:24" x14ac:dyDescent="0.2">
      <c r="M300" s="12"/>
      <c r="N300" s="12"/>
      <c r="O300" s="12"/>
      <c r="P300" s="12"/>
      <c r="Q300" s="12"/>
      <c r="R300" s="12"/>
      <c r="W300" s="12"/>
      <c r="X300" s="12"/>
    </row>
    <row r="301" spans="13:24" x14ac:dyDescent="0.2">
      <c r="M301" s="12"/>
      <c r="N301" s="12"/>
      <c r="O301" s="12"/>
      <c r="P301" s="12"/>
      <c r="Q301" s="12"/>
      <c r="R301" s="12"/>
      <c r="W301" s="12"/>
      <c r="X301" s="12"/>
    </row>
    <row r="302" spans="13:24" x14ac:dyDescent="0.2">
      <c r="M302" s="12"/>
      <c r="N302" s="12"/>
      <c r="O302" s="12"/>
      <c r="P302" s="12"/>
      <c r="Q302" s="12"/>
      <c r="R302" s="12"/>
      <c r="W302" s="12"/>
      <c r="X302" s="12"/>
    </row>
    <row r="303" spans="13:24" x14ac:dyDescent="0.2">
      <c r="M303" s="12"/>
      <c r="N303" s="12"/>
      <c r="O303" s="12"/>
      <c r="P303" s="12"/>
      <c r="Q303" s="12"/>
      <c r="R303" s="12"/>
      <c r="W303" s="12"/>
      <c r="X303" s="12"/>
    </row>
    <row r="304" spans="13:24" x14ac:dyDescent="0.2">
      <c r="M304" s="12"/>
      <c r="N304" s="12"/>
      <c r="O304" s="12"/>
      <c r="P304" s="12"/>
      <c r="Q304" s="12"/>
      <c r="R304" s="12"/>
      <c r="W304" s="12"/>
      <c r="X304" s="12"/>
    </row>
    <row r="305" spans="13:24" x14ac:dyDescent="0.2">
      <c r="M305" s="12"/>
      <c r="N305" s="12"/>
      <c r="O305" s="12"/>
      <c r="P305" s="12"/>
      <c r="Q305" s="12"/>
      <c r="R305" s="12"/>
      <c r="W305" s="12"/>
      <c r="X305" s="12"/>
    </row>
    <row r="306" spans="13:24" x14ac:dyDescent="0.2">
      <c r="M306" s="12"/>
      <c r="N306" s="12"/>
      <c r="O306" s="12"/>
      <c r="P306" s="12"/>
      <c r="Q306" s="12"/>
      <c r="R306" s="12"/>
      <c r="W306" s="12"/>
      <c r="X306" s="12"/>
    </row>
    <row r="307" spans="13:24" x14ac:dyDescent="0.2">
      <c r="M307" s="12"/>
      <c r="N307" s="12"/>
      <c r="O307" s="12"/>
      <c r="P307" s="12"/>
      <c r="Q307" s="12"/>
      <c r="R307" s="12"/>
      <c r="W307" s="12"/>
      <c r="X307" s="12"/>
    </row>
    <row r="308" spans="13:24" x14ac:dyDescent="0.2">
      <c r="M308" s="12"/>
      <c r="N308" s="12"/>
      <c r="O308" s="12"/>
      <c r="P308" s="12"/>
      <c r="Q308" s="12"/>
      <c r="R308" s="12"/>
      <c r="W308" s="12"/>
      <c r="X308" s="12"/>
    </row>
    <row r="309" spans="13:24" x14ac:dyDescent="0.2">
      <c r="M309" s="12"/>
      <c r="N309" s="12"/>
      <c r="O309" s="12"/>
      <c r="P309" s="12"/>
      <c r="Q309" s="12"/>
      <c r="R309" s="12"/>
      <c r="W309" s="12"/>
      <c r="X309" s="12"/>
    </row>
    <row r="310" spans="13:24" x14ac:dyDescent="0.2">
      <c r="M310" s="12"/>
      <c r="N310" s="12"/>
      <c r="O310" s="12"/>
      <c r="P310" s="12"/>
      <c r="Q310" s="12"/>
      <c r="R310" s="12"/>
      <c r="W310" s="12"/>
      <c r="X310" s="12"/>
    </row>
    <row r="311" spans="13:24" x14ac:dyDescent="0.2">
      <c r="M311" s="12"/>
      <c r="N311" s="12"/>
      <c r="O311" s="12"/>
      <c r="P311" s="12"/>
      <c r="Q311" s="12"/>
      <c r="R311" s="12"/>
      <c r="W311" s="12"/>
      <c r="X311" s="12"/>
    </row>
    <row r="312" spans="13:24" x14ac:dyDescent="0.2">
      <c r="M312" s="12"/>
      <c r="N312" s="12"/>
      <c r="O312" s="12"/>
      <c r="P312" s="12"/>
      <c r="Q312" s="12"/>
      <c r="R312" s="12"/>
      <c r="W312" s="12"/>
      <c r="X312" s="12"/>
    </row>
    <row r="313" spans="13:24" x14ac:dyDescent="0.2">
      <c r="M313" s="12"/>
      <c r="N313" s="12"/>
      <c r="O313" s="12"/>
      <c r="P313" s="12"/>
      <c r="Q313" s="12"/>
      <c r="R313" s="12"/>
      <c r="W313" s="12"/>
      <c r="X313" s="12"/>
    </row>
    <row r="314" spans="13:24" x14ac:dyDescent="0.2">
      <c r="M314" s="12"/>
      <c r="N314" s="12"/>
      <c r="O314" s="12"/>
      <c r="P314" s="12"/>
      <c r="Q314" s="12"/>
      <c r="R314" s="12"/>
      <c r="W314" s="12"/>
      <c r="X314" s="12"/>
    </row>
    <row r="315" spans="13:24" x14ac:dyDescent="0.2">
      <c r="M315" s="12"/>
      <c r="N315" s="12"/>
      <c r="O315" s="12"/>
      <c r="P315" s="12"/>
      <c r="Q315" s="12"/>
      <c r="R315" s="12"/>
      <c r="W315" s="12"/>
      <c r="X315" s="12"/>
    </row>
    <row r="316" spans="13:24" x14ac:dyDescent="0.2">
      <c r="M316" s="12"/>
      <c r="N316" s="12"/>
      <c r="O316" s="12"/>
      <c r="P316" s="12"/>
      <c r="Q316" s="12"/>
      <c r="R316" s="12"/>
      <c r="W316" s="12"/>
      <c r="X316" s="12"/>
    </row>
    <row r="317" spans="13:24" x14ac:dyDescent="0.2">
      <c r="M317" s="12"/>
      <c r="N317" s="12"/>
      <c r="O317" s="12"/>
      <c r="P317" s="12"/>
      <c r="Q317" s="12"/>
      <c r="R317" s="12"/>
      <c r="W317" s="12"/>
      <c r="X317" s="12"/>
    </row>
    <row r="318" spans="13:24" x14ac:dyDescent="0.2">
      <c r="M318" s="12"/>
      <c r="N318" s="12"/>
      <c r="O318" s="12"/>
      <c r="P318" s="12"/>
      <c r="Q318" s="12"/>
      <c r="R318" s="12"/>
      <c r="W318" s="12"/>
      <c r="X318" s="12"/>
    </row>
    <row r="319" spans="13:24" x14ac:dyDescent="0.2">
      <c r="M319" s="12"/>
      <c r="N319" s="12"/>
      <c r="O319" s="12"/>
      <c r="P319" s="12"/>
      <c r="Q319" s="12"/>
      <c r="R319" s="12"/>
      <c r="W319" s="12"/>
      <c r="X319" s="12"/>
    </row>
    <row r="320" spans="13:24" x14ac:dyDescent="0.2">
      <c r="M320" s="12"/>
      <c r="N320" s="12"/>
      <c r="O320" s="12"/>
      <c r="P320" s="12"/>
      <c r="Q320" s="12"/>
      <c r="R320" s="12"/>
      <c r="W320" s="12"/>
      <c r="X320" s="12"/>
    </row>
    <row r="321" spans="13:24" x14ac:dyDescent="0.2">
      <c r="M321" s="12"/>
      <c r="N321" s="12"/>
      <c r="O321" s="12"/>
      <c r="P321" s="12"/>
      <c r="Q321" s="12"/>
      <c r="R321" s="12"/>
      <c r="W321" s="12"/>
      <c r="X321" s="12"/>
    </row>
    <row r="322" spans="13:24" x14ac:dyDescent="0.2">
      <c r="M322" s="12"/>
      <c r="N322" s="12"/>
      <c r="O322" s="12"/>
      <c r="P322" s="12"/>
      <c r="Q322" s="12"/>
      <c r="R322" s="12"/>
      <c r="W322" s="12"/>
      <c r="X322" s="12"/>
    </row>
    <row r="323" spans="13:24" x14ac:dyDescent="0.2">
      <c r="M323" s="12"/>
      <c r="N323" s="12"/>
      <c r="O323" s="12"/>
      <c r="P323" s="12"/>
      <c r="Q323" s="12"/>
      <c r="R323" s="12"/>
      <c r="W323" s="12"/>
      <c r="X323" s="12"/>
    </row>
    <row r="324" spans="13:24" x14ac:dyDescent="0.2">
      <c r="M324" s="12"/>
      <c r="N324" s="12"/>
      <c r="O324" s="12"/>
      <c r="P324" s="12"/>
      <c r="Q324" s="12"/>
      <c r="R324" s="12"/>
      <c r="W324" s="12"/>
      <c r="X324" s="12"/>
    </row>
    <row r="325" spans="13:24" x14ac:dyDescent="0.2">
      <c r="M325" s="12"/>
      <c r="N325" s="12"/>
      <c r="O325" s="12"/>
      <c r="P325" s="12"/>
      <c r="Q325" s="12"/>
      <c r="R325" s="12"/>
      <c r="W325" s="12"/>
      <c r="X325" s="12"/>
    </row>
    <row r="326" spans="13:24" x14ac:dyDescent="0.2">
      <c r="M326" s="12"/>
      <c r="N326" s="12"/>
      <c r="O326" s="12"/>
      <c r="P326" s="12"/>
      <c r="Q326" s="12"/>
      <c r="R326" s="12"/>
      <c r="W326" s="12"/>
      <c r="X326" s="12"/>
    </row>
    <row r="327" spans="13:24" x14ac:dyDescent="0.2">
      <c r="M327" s="12"/>
      <c r="N327" s="12"/>
      <c r="O327" s="12"/>
      <c r="P327" s="12"/>
      <c r="Q327" s="12"/>
      <c r="R327" s="12"/>
      <c r="W327" s="12"/>
      <c r="X327" s="12"/>
    </row>
    <row r="328" spans="13:24" x14ac:dyDescent="0.2">
      <c r="M328" s="12"/>
      <c r="N328" s="12"/>
      <c r="O328" s="12"/>
      <c r="P328" s="12"/>
      <c r="Q328" s="12"/>
      <c r="R328" s="12"/>
      <c r="W328" s="12"/>
      <c r="X328" s="12"/>
    </row>
    <row r="329" spans="13:24" x14ac:dyDescent="0.2">
      <c r="M329" s="12"/>
      <c r="N329" s="12"/>
      <c r="O329" s="12"/>
      <c r="P329" s="12"/>
      <c r="Q329" s="12"/>
      <c r="R329" s="12"/>
      <c r="W329" s="12"/>
      <c r="X329" s="12"/>
    </row>
    <row r="330" spans="13:24" x14ac:dyDescent="0.2">
      <c r="M330" s="12"/>
      <c r="N330" s="12"/>
      <c r="O330" s="12"/>
      <c r="P330" s="12"/>
      <c r="Q330" s="12"/>
      <c r="R330" s="12"/>
      <c r="W330" s="12"/>
      <c r="X330" s="12"/>
    </row>
    <row r="331" spans="13:24" x14ac:dyDescent="0.2">
      <c r="M331" s="12"/>
      <c r="N331" s="12"/>
      <c r="O331" s="12"/>
      <c r="P331" s="12"/>
      <c r="Q331" s="12"/>
      <c r="R331" s="12"/>
      <c r="W331" s="12"/>
      <c r="X331" s="12"/>
    </row>
    <row r="332" spans="13:24" x14ac:dyDescent="0.2">
      <c r="M332" s="12"/>
      <c r="N332" s="12"/>
      <c r="O332" s="12"/>
      <c r="P332" s="12"/>
      <c r="Q332" s="12"/>
      <c r="R332" s="12"/>
      <c r="W332" s="12"/>
      <c r="X332" s="12"/>
    </row>
    <row r="333" spans="13:24" x14ac:dyDescent="0.2">
      <c r="M333" s="12"/>
      <c r="N333" s="12"/>
      <c r="O333" s="12"/>
      <c r="P333" s="12"/>
      <c r="Q333" s="12"/>
      <c r="R333" s="12"/>
      <c r="W333" s="12"/>
      <c r="X333" s="12"/>
    </row>
    <row r="334" spans="13:24" x14ac:dyDescent="0.2">
      <c r="M334" s="12"/>
      <c r="N334" s="12"/>
      <c r="O334" s="12"/>
      <c r="P334" s="12"/>
      <c r="Q334" s="12"/>
      <c r="R334" s="12"/>
      <c r="W334" s="12"/>
      <c r="X334" s="12"/>
    </row>
    <row r="335" spans="13:24" x14ac:dyDescent="0.2">
      <c r="M335" s="12"/>
      <c r="N335" s="12"/>
      <c r="O335" s="12"/>
      <c r="P335" s="12"/>
      <c r="Q335" s="12"/>
      <c r="R335" s="12"/>
      <c r="W335" s="12"/>
      <c r="X335" s="12"/>
    </row>
    <row r="336" spans="13:24" x14ac:dyDescent="0.2">
      <c r="M336" s="12"/>
      <c r="N336" s="12"/>
      <c r="O336" s="12"/>
      <c r="P336" s="12"/>
      <c r="Q336" s="12"/>
      <c r="R336" s="12"/>
      <c r="W336" s="12"/>
      <c r="X336" s="12"/>
    </row>
    <row r="337" spans="13:24" x14ac:dyDescent="0.2">
      <c r="M337" s="12"/>
      <c r="N337" s="12"/>
      <c r="O337" s="12"/>
      <c r="P337" s="12"/>
      <c r="Q337" s="12"/>
      <c r="R337" s="12"/>
      <c r="W337" s="12"/>
      <c r="X337" s="12"/>
    </row>
    <row r="338" spans="13:24" x14ac:dyDescent="0.2">
      <c r="M338" s="12"/>
      <c r="N338" s="12"/>
      <c r="O338" s="12"/>
      <c r="P338" s="12"/>
      <c r="Q338" s="12"/>
      <c r="R338" s="12"/>
      <c r="W338" s="12"/>
      <c r="X338" s="12"/>
    </row>
    <row r="339" spans="13:24" x14ac:dyDescent="0.2">
      <c r="M339" s="12"/>
      <c r="N339" s="12"/>
      <c r="O339" s="12"/>
      <c r="P339" s="12"/>
      <c r="Q339" s="12"/>
      <c r="R339" s="12"/>
      <c r="W339" s="12"/>
      <c r="X339" s="12"/>
    </row>
    <row r="340" spans="13:24" x14ac:dyDescent="0.2">
      <c r="M340" s="12"/>
      <c r="N340" s="12"/>
      <c r="O340" s="12"/>
      <c r="P340" s="12"/>
      <c r="Q340" s="12"/>
      <c r="R340" s="12"/>
      <c r="W340" s="12"/>
      <c r="X340" s="12"/>
    </row>
    <row r="341" spans="13:24" x14ac:dyDescent="0.2">
      <c r="M341" s="12"/>
      <c r="N341" s="12"/>
      <c r="O341" s="12"/>
      <c r="P341" s="12"/>
      <c r="Q341" s="12"/>
      <c r="R341" s="12"/>
      <c r="W341" s="12"/>
      <c r="X341" s="12"/>
    </row>
    <row r="342" spans="13:24" x14ac:dyDescent="0.2">
      <c r="M342" s="12"/>
      <c r="N342" s="12"/>
      <c r="O342" s="12"/>
      <c r="P342" s="12"/>
      <c r="Q342" s="12"/>
      <c r="R342" s="12"/>
      <c r="W342" s="12"/>
      <c r="X342" s="12"/>
    </row>
    <row r="343" spans="13:24" x14ac:dyDescent="0.2">
      <c r="M343" s="12"/>
      <c r="N343" s="12"/>
      <c r="O343" s="12"/>
      <c r="P343" s="12"/>
      <c r="Q343" s="12"/>
      <c r="R343" s="12"/>
      <c r="W343" s="12"/>
      <c r="X343" s="12"/>
    </row>
    <row r="344" spans="13:24" x14ac:dyDescent="0.2">
      <c r="M344" s="12"/>
      <c r="N344" s="12"/>
      <c r="O344" s="12"/>
      <c r="P344" s="12"/>
      <c r="Q344" s="12"/>
      <c r="R344" s="12"/>
      <c r="W344" s="12"/>
      <c r="X344" s="12"/>
    </row>
    <row r="345" spans="13:24" x14ac:dyDescent="0.2">
      <c r="M345" s="12"/>
      <c r="N345" s="12"/>
      <c r="O345" s="12"/>
      <c r="P345" s="12"/>
      <c r="Q345" s="12"/>
      <c r="R345" s="12"/>
      <c r="W345" s="12"/>
      <c r="X345" s="12"/>
    </row>
    <row r="346" spans="13:24" x14ac:dyDescent="0.2">
      <c r="M346" s="12"/>
      <c r="N346" s="12"/>
      <c r="O346" s="12"/>
      <c r="P346" s="12"/>
      <c r="Q346" s="12"/>
      <c r="R346" s="12"/>
      <c r="W346" s="12"/>
      <c r="X346" s="12"/>
    </row>
    <row r="347" spans="13:24" x14ac:dyDescent="0.2">
      <c r="M347" s="12"/>
      <c r="N347" s="12"/>
      <c r="O347" s="12"/>
      <c r="P347" s="12"/>
      <c r="Q347" s="12"/>
      <c r="R347" s="12"/>
      <c r="W347" s="12"/>
      <c r="X347" s="12"/>
    </row>
    <row r="348" spans="13:24" x14ac:dyDescent="0.2">
      <c r="M348" s="12"/>
      <c r="N348" s="12"/>
      <c r="O348" s="12"/>
      <c r="P348" s="12"/>
      <c r="Q348" s="12"/>
      <c r="R348" s="12"/>
      <c r="W348" s="12"/>
      <c r="X348" s="12"/>
    </row>
    <row r="349" spans="13:24" x14ac:dyDescent="0.2">
      <c r="M349" s="12"/>
      <c r="N349" s="12"/>
      <c r="O349" s="12"/>
      <c r="P349" s="12"/>
      <c r="Q349" s="12"/>
      <c r="R349" s="12"/>
      <c r="W349" s="12"/>
      <c r="X349" s="12"/>
    </row>
    <row r="350" spans="13:24" x14ac:dyDescent="0.2">
      <c r="M350" s="12"/>
      <c r="N350" s="12"/>
      <c r="O350" s="12"/>
      <c r="P350" s="12"/>
      <c r="Q350" s="12"/>
      <c r="R350" s="12"/>
      <c r="W350" s="12"/>
      <c r="X350" s="12"/>
    </row>
    <row r="351" spans="13:24" x14ac:dyDescent="0.2">
      <c r="M351" s="12"/>
      <c r="N351" s="12"/>
      <c r="O351" s="12"/>
      <c r="P351" s="12"/>
      <c r="Q351" s="12"/>
      <c r="R351" s="12"/>
      <c r="W351" s="12"/>
      <c r="X351" s="12"/>
    </row>
    <row r="352" spans="13:24" x14ac:dyDescent="0.2">
      <c r="M352" s="12"/>
      <c r="N352" s="12"/>
      <c r="O352" s="12"/>
      <c r="P352" s="12"/>
      <c r="Q352" s="12"/>
      <c r="R352" s="12"/>
      <c r="W352" s="12"/>
      <c r="X352" s="12"/>
    </row>
    <row r="353" spans="13:24" x14ac:dyDescent="0.2">
      <c r="M353" s="12"/>
      <c r="N353" s="12"/>
      <c r="O353" s="12"/>
      <c r="P353" s="12"/>
      <c r="Q353" s="12"/>
      <c r="R353" s="12"/>
      <c r="W353" s="12"/>
      <c r="X353" s="12"/>
    </row>
    <row r="354" spans="13:24" x14ac:dyDescent="0.2">
      <c r="M354" s="12"/>
      <c r="N354" s="12"/>
      <c r="O354" s="12"/>
      <c r="P354" s="12"/>
      <c r="Q354" s="12"/>
      <c r="R354" s="12"/>
      <c r="W354" s="12"/>
      <c r="X354" s="12"/>
    </row>
    <row r="355" spans="13:24" x14ac:dyDescent="0.2">
      <c r="M355" s="12"/>
      <c r="N355" s="12"/>
      <c r="O355" s="12"/>
      <c r="P355" s="12"/>
      <c r="Q355" s="12"/>
      <c r="R355" s="12"/>
      <c r="W355" s="12"/>
      <c r="X355" s="12"/>
    </row>
    <row r="356" spans="13:24" x14ac:dyDescent="0.2">
      <c r="M356" s="12"/>
      <c r="N356" s="12"/>
      <c r="O356" s="12"/>
      <c r="P356" s="12"/>
      <c r="Q356" s="12"/>
      <c r="R356" s="12"/>
      <c r="W356" s="12"/>
      <c r="X356" s="12"/>
    </row>
    <row r="357" spans="13:24" x14ac:dyDescent="0.2">
      <c r="M357" s="12"/>
      <c r="N357" s="12"/>
      <c r="O357" s="12"/>
      <c r="P357" s="12"/>
      <c r="Q357" s="12"/>
      <c r="R357" s="12"/>
      <c r="W357" s="12"/>
      <c r="X357" s="12"/>
    </row>
    <row r="358" spans="13:24" x14ac:dyDescent="0.2">
      <c r="M358" s="12"/>
      <c r="N358" s="12"/>
      <c r="O358" s="12"/>
      <c r="P358" s="12"/>
      <c r="Q358" s="12"/>
      <c r="R358" s="12"/>
      <c r="W358" s="12"/>
      <c r="X358" s="12"/>
    </row>
    <row r="359" spans="13:24" x14ac:dyDescent="0.2">
      <c r="M359" s="12"/>
      <c r="N359" s="12"/>
      <c r="O359" s="12"/>
      <c r="P359" s="12"/>
      <c r="Q359" s="12"/>
      <c r="R359" s="12"/>
      <c r="W359" s="12"/>
      <c r="X359" s="12"/>
    </row>
    <row r="360" spans="13:24" x14ac:dyDescent="0.2">
      <c r="M360" s="12"/>
      <c r="N360" s="12"/>
      <c r="O360" s="12"/>
      <c r="P360" s="12"/>
      <c r="Q360" s="12"/>
      <c r="R360" s="12"/>
      <c r="W360" s="12"/>
      <c r="X360" s="12"/>
    </row>
    <row r="361" spans="13:24" x14ac:dyDescent="0.2">
      <c r="M361" s="12"/>
      <c r="N361" s="12"/>
      <c r="O361" s="12"/>
      <c r="P361" s="12"/>
      <c r="Q361" s="12"/>
      <c r="R361" s="12"/>
      <c r="W361" s="12"/>
      <c r="X361" s="12"/>
    </row>
    <row r="362" spans="13:24" x14ac:dyDescent="0.2">
      <c r="M362" s="12"/>
      <c r="N362" s="12"/>
      <c r="O362" s="12"/>
      <c r="P362" s="12"/>
      <c r="Q362" s="12"/>
      <c r="R362" s="12"/>
      <c r="W362" s="12"/>
      <c r="X362" s="12"/>
    </row>
    <row r="363" spans="13:24" x14ac:dyDescent="0.2">
      <c r="M363" s="12"/>
      <c r="N363" s="12"/>
      <c r="O363" s="12"/>
      <c r="P363" s="12"/>
      <c r="Q363" s="12"/>
      <c r="R363" s="12"/>
      <c r="W363" s="12"/>
      <c r="X363" s="12"/>
    </row>
    <row r="364" spans="13:24" x14ac:dyDescent="0.2">
      <c r="M364" s="12"/>
      <c r="N364" s="12"/>
      <c r="O364" s="12"/>
      <c r="P364" s="12"/>
      <c r="Q364" s="12"/>
      <c r="R364" s="12"/>
      <c r="W364" s="12"/>
      <c r="X364" s="12"/>
    </row>
    <row r="365" spans="13:24" x14ac:dyDescent="0.2">
      <c r="M365" s="12"/>
      <c r="N365" s="12"/>
      <c r="O365" s="12"/>
      <c r="P365" s="12"/>
      <c r="Q365" s="12"/>
      <c r="R365" s="12"/>
      <c r="W365" s="12"/>
      <c r="X365" s="12"/>
    </row>
    <row r="366" spans="13:24" x14ac:dyDescent="0.2">
      <c r="M366" s="12"/>
      <c r="N366" s="12"/>
      <c r="O366" s="12"/>
      <c r="P366" s="12"/>
      <c r="Q366" s="12"/>
      <c r="R366" s="12"/>
      <c r="W366" s="12"/>
      <c r="X366" s="12"/>
    </row>
    <row r="367" spans="13:24" x14ac:dyDescent="0.2">
      <c r="M367" s="12"/>
      <c r="N367" s="12"/>
      <c r="O367" s="12"/>
      <c r="P367" s="12"/>
      <c r="Q367" s="12"/>
      <c r="R367" s="12"/>
      <c r="W367" s="12"/>
      <c r="X367" s="12"/>
    </row>
    <row r="368" spans="13:24" x14ac:dyDescent="0.2">
      <c r="M368" s="12"/>
      <c r="N368" s="12"/>
      <c r="O368" s="12"/>
      <c r="P368" s="12"/>
      <c r="Q368" s="12"/>
      <c r="R368" s="12"/>
      <c r="W368" s="12"/>
      <c r="X368" s="12"/>
    </row>
    <row r="369" spans="13:24" x14ac:dyDescent="0.2">
      <c r="M369" s="12"/>
      <c r="N369" s="12"/>
      <c r="O369" s="12"/>
      <c r="P369" s="12"/>
      <c r="Q369" s="12"/>
      <c r="R369" s="12"/>
      <c r="W369" s="12"/>
      <c r="X369" s="12"/>
    </row>
    <row r="370" spans="13:24" x14ac:dyDescent="0.2">
      <c r="M370" s="12"/>
      <c r="N370" s="12"/>
      <c r="O370" s="12"/>
      <c r="P370" s="12"/>
      <c r="Q370" s="12"/>
      <c r="R370" s="12"/>
      <c r="W370" s="12"/>
      <c r="X370" s="12"/>
    </row>
    <row r="371" spans="13:24" x14ac:dyDescent="0.2">
      <c r="M371" s="12"/>
      <c r="N371" s="12"/>
      <c r="O371" s="12"/>
      <c r="P371" s="12"/>
      <c r="Q371" s="12"/>
      <c r="R371" s="12"/>
      <c r="W371" s="12"/>
      <c r="X371" s="12"/>
    </row>
    <row r="372" spans="13:24" x14ac:dyDescent="0.2">
      <c r="M372" s="12"/>
      <c r="N372" s="12"/>
      <c r="O372" s="12"/>
      <c r="P372" s="12"/>
      <c r="Q372" s="12"/>
      <c r="R372" s="12"/>
      <c r="W372" s="12"/>
      <c r="X372" s="12"/>
    </row>
    <row r="373" spans="13:24" x14ac:dyDescent="0.2">
      <c r="M373" s="12"/>
      <c r="N373" s="12"/>
      <c r="O373" s="12"/>
      <c r="P373" s="12"/>
      <c r="Q373" s="12"/>
      <c r="R373" s="12"/>
      <c r="W373" s="12"/>
      <c r="X373" s="12"/>
    </row>
    <row r="374" spans="13:24" x14ac:dyDescent="0.2">
      <c r="M374" s="12"/>
      <c r="N374" s="12"/>
      <c r="O374" s="12"/>
      <c r="P374" s="12"/>
      <c r="Q374" s="12"/>
      <c r="R374" s="12"/>
      <c r="W374" s="12"/>
      <c r="X374" s="12"/>
    </row>
    <row r="375" spans="13:24" x14ac:dyDescent="0.2">
      <c r="M375" s="12"/>
      <c r="N375" s="12"/>
      <c r="O375" s="12"/>
      <c r="P375" s="12"/>
      <c r="Q375" s="12"/>
      <c r="R375" s="12"/>
      <c r="W375" s="12"/>
      <c r="X375" s="12"/>
    </row>
    <row r="376" spans="13:24" x14ac:dyDescent="0.2">
      <c r="M376" s="12"/>
      <c r="N376" s="12"/>
      <c r="O376" s="12"/>
      <c r="P376" s="12"/>
      <c r="Q376" s="12"/>
      <c r="R376" s="12"/>
      <c r="W376" s="12"/>
      <c r="X376" s="12"/>
    </row>
    <row r="377" spans="13:24" x14ac:dyDescent="0.2">
      <c r="M377" s="12"/>
      <c r="N377" s="12"/>
      <c r="O377" s="12"/>
      <c r="P377" s="12"/>
      <c r="Q377" s="12"/>
      <c r="R377" s="12"/>
      <c r="W377" s="12"/>
      <c r="X377" s="12"/>
    </row>
    <row r="378" spans="13:24" x14ac:dyDescent="0.2">
      <c r="M378" s="12"/>
      <c r="N378" s="12"/>
      <c r="O378" s="12"/>
      <c r="P378" s="12"/>
      <c r="Q378" s="12"/>
      <c r="R378" s="12"/>
      <c r="W378" s="12"/>
      <c r="X378" s="12"/>
    </row>
    <row r="379" spans="13:24" x14ac:dyDescent="0.2">
      <c r="M379" s="12"/>
      <c r="N379" s="12"/>
      <c r="O379" s="12"/>
      <c r="P379" s="12"/>
      <c r="Q379" s="12"/>
      <c r="R379" s="12"/>
      <c r="W379" s="12"/>
      <c r="X379" s="12"/>
    </row>
    <row r="380" spans="13:24" x14ac:dyDescent="0.2">
      <c r="M380" s="12"/>
      <c r="N380" s="12"/>
      <c r="O380" s="12"/>
      <c r="P380" s="12"/>
      <c r="Q380" s="12"/>
      <c r="R380" s="12"/>
      <c r="W380" s="12"/>
      <c r="X380" s="12"/>
    </row>
    <row r="381" spans="13:24" x14ac:dyDescent="0.2">
      <c r="M381" s="12"/>
      <c r="N381" s="12"/>
      <c r="O381" s="12"/>
      <c r="P381" s="12"/>
      <c r="Q381" s="12"/>
      <c r="R381" s="12"/>
      <c r="W381" s="12"/>
      <c r="X381" s="12"/>
    </row>
    <row r="382" spans="13:24" x14ac:dyDescent="0.2">
      <c r="M382" s="12"/>
      <c r="N382" s="12"/>
      <c r="O382" s="12"/>
      <c r="P382" s="12"/>
      <c r="Q382" s="12"/>
      <c r="R382" s="12"/>
      <c r="W382" s="12"/>
      <c r="X382" s="12"/>
    </row>
    <row r="383" spans="13:24" x14ac:dyDescent="0.2">
      <c r="M383" s="12"/>
      <c r="N383" s="12"/>
      <c r="O383" s="12"/>
      <c r="P383" s="12"/>
      <c r="Q383" s="12"/>
      <c r="R383" s="12"/>
      <c r="W383" s="12"/>
      <c r="X383" s="12"/>
    </row>
    <row r="384" spans="13:24" x14ac:dyDescent="0.2">
      <c r="M384" s="12"/>
      <c r="N384" s="12"/>
      <c r="O384" s="12"/>
      <c r="P384" s="12"/>
      <c r="Q384" s="12"/>
      <c r="R384" s="12"/>
      <c r="W384" s="12"/>
      <c r="X384" s="12"/>
    </row>
    <row r="385" spans="13:24" x14ac:dyDescent="0.2">
      <c r="M385" s="12"/>
      <c r="N385" s="12"/>
      <c r="O385" s="12"/>
      <c r="P385" s="12"/>
      <c r="Q385" s="12"/>
      <c r="R385" s="12"/>
      <c r="W385" s="12"/>
      <c r="X385" s="12"/>
    </row>
    <row r="386" spans="13:24" x14ac:dyDescent="0.2">
      <c r="M386" s="12"/>
      <c r="N386" s="12"/>
      <c r="O386" s="12"/>
      <c r="P386" s="12"/>
      <c r="Q386" s="12"/>
      <c r="R386" s="12"/>
      <c r="W386" s="12"/>
      <c r="X386" s="12"/>
    </row>
    <row r="387" spans="13:24" x14ac:dyDescent="0.2">
      <c r="M387" s="12"/>
      <c r="N387" s="12"/>
      <c r="O387" s="12"/>
      <c r="P387" s="12"/>
      <c r="Q387" s="12"/>
      <c r="R387" s="12"/>
      <c r="W387" s="12"/>
      <c r="X387" s="12"/>
    </row>
    <row r="388" spans="13:24" x14ac:dyDescent="0.2">
      <c r="M388" s="12"/>
      <c r="N388" s="12"/>
      <c r="O388" s="12"/>
      <c r="P388" s="12"/>
      <c r="Q388" s="12"/>
      <c r="R388" s="12"/>
      <c r="W388" s="12"/>
      <c r="X388" s="12"/>
    </row>
    <row r="389" spans="13:24" x14ac:dyDescent="0.2">
      <c r="M389" s="12"/>
      <c r="N389" s="12"/>
      <c r="O389" s="12"/>
      <c r="P389" s="12"/>
      <c r="Q389" s="12"/>
      <c r="R389" s="12"/>
      <c r="W389" s="12"/>
      <c r="X389" s="12"/>
    </row>
    <row r="390" spans="13:24" x14ac:dyDescent="0.2">
      <c r="M390" s="12"/>
      <c r="N390" s="12"/>
      <c r="O390" s="12"/>
      <c r="P390" s="12"/>
      <c r="Q390" s="12"/>
      <c r="R390" s="12"/>
      <c r="W390" s="12"/>
      <c r="X390" s="12"/>
    </row>
    <row r="391" spans="13:24" x14ac:dyDescent="0.2">
      <c r="M391" s="12"/>
      <c r="N391" s="12"/>
      <c r="O391" s="12"/>
      <c r="P391" s="12"/>
      <c r="Q391" s="12"/>
      <c r="R391" s="12"/>
      <c r="W391" s="12"/>
      <c r="X391" s="12"/>
    </row>
    <row r="392" spans="13:24" x14ac:dyDescent="0.2">
      <c r="M392" s="12"/>
      <c r="N392" s="12"/>
      <c r="O392" s="12"/>
      <c r="P392" s="12"/>
      <c r="Q392" s="12"/>
      <c r="R392" s="12"/>
      <c r="W392" s="12"/>
      <c r="X392" s="12"/>
    </row>
    <row r="393" spans="13:24" x14ac:dyDescent="0.2">
      <c r="M393" s="12"/>
      <c r="N393" s="12"/>
      <c r="O393" s="12"/>
      <c r="P393" s="12"/>
      <c r="Q393" s="12"/>
      <c r="R393" s="12"/>
      <c r="W393" s="12"/>
      <c r="X393" s="12"/>
    </row>
    <row r="394" spans="13:24" x14ac:dyDescent="0.2">
      <c r="M394" s="12"/>
      <c r="N394" s="12"/>
      <c r="O394" s="12"/>
      <c r="P394" s="12"/>
      <c r="Q394" s="12"/>
      <c r="R394" s="12"/>
      <c r="W394" s="12"/>
      <c r="X394" s="12"/>
    </row>
    <row r="395" spans="13:24" x14ac:dyDescent="0.2">
      <c r="M395" s="12"/>
      <c r="N395" s="12"/>
      <c r="O395" s="12"/>
      <c r="P395" s="12"/>
      <c r="Q395" s="12"/>
      <c r="R395" s="12"/>
      <c r="W395" s="12"/>
      <c r="X395" s="12"/>
    </row>
    <row r="396" spans="13:24" x14ac:dyDescent="0.2">
      <c r="M396" s="12"/>
      <c r="N396" s="12"/>
      <c r="O396" s="12"/>
      <c r="P396" s="12"/>
      <c r="Q396" s="12"/>
      <c r="R396" s="12"/>
      <c r="W396" s="12"/>
      <c r="X396" s="12"/>
    </row>
    <row r="397" spans="13:24" x14ac:dyDescent="0.2">
      <c r="M397" s="12"/>
      <c r="N397" s="12"/>
      <c r="O397" s="12"/>
      <c r="P397" s="12"/>
      <c r="Q397" s="12"/>
      <c r="R397" s="12"/>
      <c r="W397" s="12"/>
      <c r="X397" s="12"/>
    </row>
    <row r="398" spans="13:24" x14ac:dyDescent="0.2">
      <c r="M398" s="12"/>
      <c r="N398" s="12"/>
      <c r="O398" s="12"/>
      <c r="P398" s="12"/>
      <c r="Q398" s="12"/>
      <c r="R398" s="12"/>
      <c r="W398" s="12"/>
      <c r="X398" s="12"/>
    </row>
    <row r="399" spans="13:24" x14ac:dyDescent="0.2">
      <c r="M399" s="12"/>
      <c r="N399" s="12"/>
      <c r="O399" s="12"/>
      <c r="P399" s="12"/>
      <c r="Q399" s="12"/>
      <c r="R399" s="12"/>
      <c r="W399" s="12"/>
      <c r="X399" s="12"/>
    </row>
    <row r="400" spans="13:24" x14ac:dyDescent="0.2">
      <c r="M400" s="12"/>
      <c r="N400" s="12"/>
      <c r="O400" s="12"/>
      <c r="P400" s="12"/>
      <c r="Q400" s="12"/>
      <c r="R400" s="12"/>
      <c r="W400" s="12"/>
      <c r="X400" s="12"/>
    </row>
    <row r="401" spans="13:24" x14ac:dyDescent="0.2">
      <c r="M401" s="12"/>
      <c r="N401" s="12"/>
      <c r="O401" s="12"/>
      <c r="P401" s="12"/>
      <c r="Q401" s="12"/>
      <c r="R401" s="12"/>
      <c r="W401" s="12"/>
      <c r="X401" s="12"/>
    </row>
    <row r="402" spans="13:24" x14ac:dyDescent="0.2">
      <c r="M402" s="12"/>
      <c r="N402" s="12"/>
      <c r="O402" s="12"/>
      <c r="P402" s="12"/>
      <c r="Q402" s="12"/>
      <c r="R402" s="12"/>
      <c r="W402" s="12"/>
      <c r="X402" s="12"/>
    </row>
    <row r="403" spans="13:24" x14ac:dyDescent="0.2">
      <c r="M403" s="12"/>
      <c r="N403" s="12"/>
      <c r="O403" s="12"/>
      <c r="P403" s="12"/>
      <c r="Q403" s="12"/>
      <c r="R403" s="12"/>
      <c r="W403" s="12"/>
      <c r="X403" s="12"/>
    </row>
    <row r="404" spans="13:24" x14ac:dyDescent="0.2">
      <c r="M404" s="12"/>
      <c r="N404" s="12"/>
      <c r="O404" s="12"/>
      <c r="P404" s="12"/>
      <c r="Q404" s="12"/>
      <c r="R404" s="12"/>
      <c r="W404" s="12"/>
      <c r="X404" s="12"/>
    </row>
    <row r="405" spans="13:24" x14ac:dyDescent="0.2">
      <c r="M405" s="12"/>
      <c r="N405" s="12"/>
      <c r="O405" s="12"/>
      <c r="P405" s="12"/>
      <c r="Q405" s="12"/>
      <c r="R405" s="12"/>
      <c r="W405" s="12"/>
      <c r="X405" s="12"/>
    </row>
    <row r="406" spans="13:24" x14ac:dyDescent="0.2">
      <c r="M406" s="12"/>
      <c r="N406" s="12"/>
      <c r="O406" s="12"/>
      <c r="P406" s="12"/>
      <c r="Q406" s="12"/>
      <c r="R406" s="12"/>
      <c r="W406" s="12"/>
      <c r="X406" s="12"/>
    </row>
    <row r="407" spans="13:24" x14ac:dyDescent="0.2">
      <c r="M407" s="12"/>
      <c r="N407" s="12"/>
      <c r="O407" s="12"/>
      <c r="P407" s="12"/>
      <c r="Q407" s="12"/>
      <c r="R407" s="12"/>
      <c r="W407" s="12"/>
      <c r="X407" s="12"/>
    </row>
    <row r="408" spans="13:24" x14ac:dyDescent="0.2">
      <c r="M408" s="12"/>
      <c r="N408" s="12"/>
      <c r="Q408" s="12"/>
      <c r="R408" s="12"/>
      <c r="W408" s="12"/>
      <c r="X408" s="12"/>
    </row>
    <row r="409" spans="13:24" x14ac:dyDescent="0.2">
      <c r="M409" s="12"/>
      <c r="N409" s="12"/>
      <c r="Q409" s="12"/>
      <c r="R409" s="12"/>
      <c r="W409" s="12"/>
      <c r="X409" s="12"/>
    </row>
    <row r="410" spans="13:24" x14ac:dyDescent="0.2">
      <c r="M410" s="12"/>
      <c r="N410" s="12"/>
      <c r="Q410" s="12"/>
      <c r="R410" s="12"/>
      <c r="W410" s="12"/>
      <c r="X410" s="12"/>
    </row>
    <row r="411" spans="13:24" x14ac:dyDescent="0.2">
      <c r="M411" s="12"/>
      <c r="N411" s="12"/>
      <c r="Q411" s="12"/>
      <c r="R411" s="12"/>
      <c r="W411" s="12"/>
      <c r="X411" s="12"/>
    </row>
    <row r="412" spans="13:24" x14ac:dyDescent="0.2">
      <c r="M412" s="12"/>
      <c r="N412" s="12"/>
      <c r="Q412" s="12"/>
      <c r="R412" s="12"/>
      <c r="W412" s="12"/>
      <c r="X412" s="12"/>
    </row>
    <row r="413" spans="13:24" x14ac:dyDescent="0.2">
      <c r="M413" s="12"/>
      <c r="N413" s="12"/>
      <c r="Q413" s="12"/>
      <c r="R413" s="12"/>
      <c r="W413" s="12"/>
      <c r="X413" s="12"/>
    </row>
    <row r="414" spans="13:24" x14ac:dyDescent="0.2">
      <c r="M414" s="12"/>
      <c r="N414" s="12"/>
      <c r="Q414" s="12"/>
      <c r="R414" s="12"/>
      <c r="W414" s="12"/>
      <c r="X414" s="12"/>
    </row>
    <row r="415" spans="13:24" x14ac:dyDescent="0.2">
      <c r="M415" s="12"/>
      <c r="N415" s="12"/>
      <c r="Q415" s="12"/>
      <c r="R415" s="12"/>
      <c r="W415" s="12"/>
      <c r="X415" s="12"/>
    </row>
    <row r="416" spans="13:24" x14ac:dyDescent="0.2">
      <c r="M416" s="12"/>
      <c r="N416" s="12"/>
      <c r="Q416" s="12"/>
      <c r="R416" s="12"/>
      <c r="W416" s="12"/>
      <c r="X416" s="12"/>
    </row>
    <row r="417" spans="13:24" x14ac:dyDescent="0.2">
      <c r="M417" s="12"/>
      <c r="N417" s="12"/>
      <c r="Q417" s="12"/>
      <c r="R417" s="12"/>
      <c r="W417" s="12"/>
      <c r="X417" s="12"/>
    </row>
    <row r="418" spans="13:24" x14ac:dyDescent="0.2">
      <c r="M418" s="12"/>
      <c r="N418" s="12"/>
      <c r="Q418" s="12"/>
      <c r="R418" s="12"/>
      <c r="W418" s="12"/>
      <c r="X418" s="12"/>
    </row>
    <row r="419" spans="13:24" x14ac:dyDescent="0.2">
      <c r="M419" s="12"/>
      <c r="N419" s="12"/>
      <c r="Q419" s="12"/>
      <c r="R419" s="12"/>
      <c r="W419" s="12"/>
      <c r="X419" s="12"/>
    </row>
    <row r="420" spans="13:24" x14ac:dyDescent="0.2">
      <c r="M420" s="12"/>
      <c r="N420" s="12"/>
      <c r="Q420" s="12"/>
      <c r="R420" s="12"/>
      <c r="W420" s="12"/>
      <c r="X420" s="12"/>
    </row>
    <row r="421" spans="13:24" x14ac:dyDescent="0.2">
      <c r="M421" s="12"/>
      <c r="N421" s="12"/>
      <c r="Q421" s="12"/>
      <c r="R421" s="12"/>
      <c r="W421" s="12"/>
      <c r="X421" s="12"/>
    </row>
    <row r="422" spans="13:24" x14ac:dyDescent="0.2">
      <c r="M422" s="12"/>
      <c r="N422" s="12"/>
      <c r="Q422" s="12"/>
      <c r="R422" s="12"/>
      <c r="W422" s="12"/>
      <c r="X422" s="12"/>
    </row>
    <row r="423" spans="13:24" x14ac:dyDescent="0.2">
      <c r="M423" s="12"/>
      <c r="N423" s="12"/>
      <c r="Q423" s="12"/>
      <c r="R423" s="12"/>
      <c r="W423" s="12"/>
      <c r="X423" s="12"/>
    </row>
    <row r="424" spans="13:24" x14ac:dyDescent="0.2">
      <c r="M424" s="12"/>
      <c r="N424" s="12"/>
      <c r="Q424" s="12"/>
      <c r="R424" s="12"/>
      <c r="W424" s="12"/>
      <c r="X424" s="12"/>
    </row>
    <row r="425" spans="13:24" x14ac:dyDescent="0.2">
      <c r="M425" s="12"/>
      <c r="N425" s="12"/>
      <c r="Q425" s="12"/>
      <c r="R425" s="12"/>
      <c r="W425" s="12"/>
      <c r="X425" s="12"/>
    </row>
    <row r="426" spans="13:24" x14ac:dyDescent="0.2">
      <c r="M426" s="12"/>
      <c r="N426" s="12"/>
      <c r="Q426" s="12"/>
      <c r="R426" s="12"/>
      <c r="W426" s="12"/>
      <c r="X426" s="12"/>
    </row>
    <row r="427" spans="13:24" x14ac:dyDescent="0.2">
      <c r="M427" s="12"/>
      <c r="N427" s="12"/>
      <c r="Q427" s="12"/>
      <c r="R427" s="12"/>
      <c r="W427" s="12"/>
      <c r="X427" s="12"/>
    </row>
    <row r="428" spans="13:24" x14ac:dyDescent="0.2">
      <c r="M428" s="12"/>
      <c r="N428" s="12"/>
      <c r="Q428" s="12"/>
      <c r="R428" s="12"/>
      <c r="W428" s="12"/>
      <c r="X428" s="12"/>
    </row>
    <row r="429" spans="13:24" x14ac:dyDescent="0.2">
      <c r="M429" s="12"/>
      <c r="N429" s="12"/>
      <c r="Q429" s="12"/>
      <c r="R429" s="12"/>
      <c r="W429" s="12"/>
      <c r="X429" s="12"/>
    </row>
    <row r="430" spans="13:24" x14ac:dyDescent="0.2">
      <c r="M430" s="12"/>
      <c r="N430" s="12"/>
      <c r="Q430" s="12"/>
      <c r="R430" s="12"/>
      <c r="W430" s="12"/>
      <c r="X430" s="12"/>
    </row>
    <row r="431" spans="13:24" x14ac:dyDescent="0.2">
      <c r="M431" s="12"/>
      <c r="N431" s="12"/>
      <c r="Q431" s="12"/>
      <c r="R431" s="12"/>
      <c r="W431" s="12"/>
      <c r="X431" s="12"/>
    </row>
    <row r="432" spans="13:24" x14ac:dyDescent="0.2">
      <c r="M432" s="12"/>
      <c r="N432" s="12"/>
      <c r="Q432" s="12"/>
      <c r="R432" s="12"/>
      <c r="W432" s="12"/>
      <c r="X432" s="12"/>
    </row>
    <row r="433" spans="13:24" x14ac:dyDescent="0.2">
      <c r="M433" s="12"/>
      <c r="N433" s="12"/>
      <c r="Q433" s="12"/>
      <c r="R433" s="12"/>
      <c r="W433" s="12"/>
      <c r="X433" s="12"/>
    </row>
    <row r="434" spans="13:24" x14ac:dyDescent="0.2">
      <c r="M434" s="12"/>
      <c r="N434" s="12"/>
      <c r="Q434" s="12"/>
      <c r="R434" s="12"/>
      <c r="W434" s="12"/>
      <c r="X434" s="12"/>
    </row>
    <row r="435" spans="13:24" x14ac:dyDescent="0.2">
      <c r="M435" s="12"/>
      <c r="N435" s="12"/>
      <c r="Q435" s="12"/>
      <c r="R435" s="12"/>
      <c r="W435" s="12"/>
      <c r="X435" s="12"/>
    </row>
    <row r="436" spans="13:24" x14ac:dyDescent="0.2">
      <c r="M436" s="12"/>
      <c r="N436" s="12"/>
      <c r="Q436" s="12"/>
      <c r="R436" s="12"/>
    </row>
    <row r="437" spans="13:24" x14ac:dyDescent="0.2">
      <c r="M437" s="12"/>
      <c r="N437" s="12"/>
      <c r="Q437" s="12"/>
      <c r="R437" s="12"/>
    </row>
    <row r="438" spans="13:24" x14ac:dyDescent="0.2">
      <c r="M438" s="12"/>
      <c r="N438" s="12"/>
      <c r="Q438" s="12"/>
      <c r="R438" s="12"/>
    </row>
    <row r="439" spans="13:24" x14ac:dyDescent="0.2">
      <c r="M439" s="12"/>
      <c r="N439" s="12"/>
      <c r="Q439" s="12"/>
      <c r="R439" s="12"/>
    </row>
    <row r="440" spans="13:24" x14ac:dyDescent="0.2">
      <c r="M440" s="12"/>
      <c r="N440" s="12"/>
      <c r="Q440" s="12"/>
      <c r="R440" s="12"/>
    </row>
    <row r="441" spans="13:24" x14ac:dyDescent="0.2">
      <c r="M441" s="12"/>
      <c r="N441" s="12"/>
      <c r="Q441" s="12"/>
      <c r="R441" s="12"/>
    </row>
    <row r="442" spans="13:24" x14ac:dyDescent="0.2">
      <c r="M442" s="12"/>
      <c r="N442" s="12"/>
      <c r="Q442" s="12"/>
      <c r="R442" s="12"/>
    </row>
    <row r="443" spans="13:24" x14ac:dyDescent="0.2">
      <c r="M443" s="12"/>
      <c r="N443" s="12"/>
      <c r="Q443" s="12"/>
      <c r="R443" s="12"/>
    </row>
    <row r="444" spans="13:24" x14ac:dyDescent="0.2">
      <c r="M444" s="12"/>
      <c r="N444" s="12"/>
      <c r="Q444" s="12"/>
      <c r="R444" s="12"/>
    </row>
    <row r="445" spans="13:24" x14ac:dyDescent="0.2">
      <c r="M445" s="12"/>
      <c r="N445" s="12"/>
    </row>
    <row r="446" spans="13:24" x14ac:dyDescent="0.2">
      <c r="M446" s="12"/>
      <c r="N446" s="12"/>
    </row>
    <row r="447" spans="13:24" x14ac:dyDescent="0.2">
      <c r="M447" s="12"/>
      <c r="N447" s="12"/>
    </row>
    <row r="448" spans="13:24" x14ac:dyDescent="0.2">
      <c r="M448" s="12"/>
      <c r="N448" s="12"/>
    </row>
    <row r="449" spans="13:14" x14ac:dyDescent="0.2">
      <c r="M449" s="12"/>
      <c r="N449" s="12"/>
    </row>
    <row r="450" spans="13:14" x14ac:dyDescent="0.2">
      <c r="M450" s="12"/>
      <c r="N450" s="12"/>
    </row>
    <row r="451" spans="13:14" x14ac:dyDescent="0.2">
      <c r="M451" s="12"/>
      <c r="N451" s="12"/>
    </row>
    <row r="452" spans="13:14" x14ac:dyDescent="0.2">
      <c r="M452" s="12"/>
      <c r="N452" s="12"/>
    </row>
    <row r="453" spans="13:14" x14ac:dyDescent="0.2">
      <c r="M453" s="12"/>
      <c r="N453" s="12"/>
    </row>
    <row r="454" spans="13:14" x14ac:dyDescent="0.2">
      <c r="M454" s="12"/>
      <c r="N454" s="12"/>
    </row>
    <row r="455" spans="13:14" x14ac:dyDescent="0.2">
      <c r="M455" s="12"/>
      <c r="N455" s="12"/>
    </row>
    <row r="456" spans="13:14" x14ac:dyDescent="0.2">
      <c r="M456" s="12"/>
      <c r="N456" s="12"/>
    </row>
    <row r="457" spans="13:14" x14ac:dyDescent="0.2">
      <c r="M457" s="12"/>
      <c r="N457" s="12"/>
    </row>
    <row r="458" spans="13:14" x14ac:dyDescent="0.2">
      <c r="M458" s="12"/>
      <c r="N458" s="12"/>
    </row>
    <row r="459" spans="13:14" x14ac:dyDescent="0.2">
      <c r="M459" s="12"/>
      <c r="N459" s="12"/>
    </row>
    <row r="460" spans="13:14" x14ac:dyDescent="0.2">
      <c r="M460" s="12"/>
      <c r="N460" s="12"/>
    </row>
    <row r="461" spans="13:14" x14ac:dyDescent="0.2">
      <c r="M461" s="12"/>
      <c r="N461" s="12"/>
    </row>
    <row r="462" spans="13:14" x14ac:dyDescent="0.2">
      <c r="M462" s="12"/>
      <c r="N462" s="12"/>
    </row>
    <row r="463" spans="13:14" x14ac:dyDescent="0.2">
      <c r="M463" s="12"/>
      <c r="N463" s="12"/>
    </row>
    <row r="464" spans="13:14" x14ac:dyDescent="0.2">
      <c r="M464" s="12"/>
      <c r="N464" s="12"/>
    </row>
    <row r="465" spans="13:14" x14ac:dyDescent="0.2">
      <c r="M465" s="12"/>
      <c r="N465" s="12"/>
    </row>
    <row r="466" spans="13:14" x14ac:dyDescent="0.2">
      <c r="M466" s="12"/>
      <c r="N466" s="12"/>
    </row>
    <row r="467" spans="13:14" x14ac:dyDescent="0.2">
      <c r="M467" s="12"/>
      <c r="N467" s="12"/>
    </row>
    <row r="468" spans="13:14" x14ac:dyDescent="0.2">
      <c r="M468" s="12"/>
      <c r="N468" s="12"/>
    </row>
    <row r="469" spans="13:14" x14ac:dyDescent="0.2">
      <c r="M469" s="12"/>
      <c r="N469" s="12"/>
    </row>
    <row r="470" spans="13:14" x14ac:dyDescent="0.2">
      <c r="M470" s="12"/>
      <c r="N470" s="12"/>
    </row>
    <row r="471" spans="13:14" x14ac:dyDescent="0.2">
      <c r="M471" s="12"/>
      <c r="N471" s="12"/>
    </row>
    <row r="472" spans="13:14" x14ac:dyDescent="0.2">
      <c r="M472" s="12"/>
      <c r="N472" s="12"/>
    </row>
    <row r="473" spans="13:14" x14ac:dyDescent="0.2">
      <c r="M473" s="12"/>
      <c r="N473" s="12"/>
    </row>
    <row r="474" spans="13:14" x14ac:dyDescent="0.2">
      <c r="M474" s="12"/>
      <c r="N474" s="12"/>
    </row>
    <row r="475" spans="13:14" x14ac:dyDescent="0.2">
      <c r="M475" s="12"/>
      <c r="N475" s="12"/>
    </row>
    <row r="476" spans="13:14" x14ac:dyDescent="0.2">
      <c r="M476" s="12"/>
      <c r="N476" s="12"/>
    </row>
    <row r="477" spans="13:14" x14ac:dyDescent="0.2">
      <c r="M477" s="12"/>
      <c r="N477" s="12"/>
    </row>
    <row r="478" spans="13:14" x14ac:dyDescent="0.2">
      <c r="M478" s="12"/>
      <c r="N478" s="12"/>
    </row>
    <row r="479" spans="13:14" x14ac:dyDescent="0.2">
      <c r="M479" s="12"/>
      <c r="N479" s="12"/>
    </row>
    <row r="480" spans="13:14" x14ac:dyDescent="0.2">
      <c r="M480" s="12"/>
      <c r="N480" s="12"/>
    </row>
    <row r="481" spans="13:14" x14ac:dyDescent="0.2">
      <c r="M481" s="12"/>
      <c r="N481" s="12"/>
    </row>
    <row r="482" spans="13:14" x14ac:dyDescent="0.2">
      <c r="M482" s="12"/>
      <c r="N482" s="12"/>
    </row>
    <row r="483" spans="13:14" x14ac:dyDescent="0.2">
      <c r="M483" s="12"/>
      <c r="N483" s="12"/>
    </row>
    <row r="484" spans="13:14" x14ac:dyDescent="0.2">
      <c r="M484" s="12"/>
      <c r="N484" s="12"/>
    </row>
    <row r="485" spans="13:14" x14ac:dyDescent="0.2">
      <c r="M485" s="12"/>
      <c r="N485" s="12"/>
    </row>
    <row r="486" spans="13:14" x14ac:dyDescent="0.2">
      <c r="M486" s="12"/>
      <c r="N486" s="12"/>
    </row>
    <row r="487" spans="13:14" x14ac:dyDescent="0.2">
      <c r="M487" s="12"/>
      <c r="N487" s="12"/>
    </row>
    <row r="488" spans="13:14" x14ac:dyDescent="0.2">
      <c r="M488" s="12"/>
      <c r="N488" s="12"/>
    </row>
    <row r="489" spans="13:14" x14ac:dyDescent="0.2">
      <c r="M489" s="12"/>
      <c r="N489" s="12"/>
    </row>
    <row r="490" spans="13:14" x14ac:dyDescent="0.2">
      <c r="M490" s="12"/>
      <c r="N490" s="12"/>
    </row>
    <row r="491" spans="13:14" x14ac:dyDescent="0.2">
      <c r="M491" s="12"/>
      <c r="N491" s="12"/>
    </row>
    <row r="492" spans="13:14" x14ac:dyDescent="0.2">
      <c r="M492" s="12"/>
      <c r="N492" s="12"/>
    </row>
    <row r="493" spans="13:14" x14ac:dyDescent="0.2">
      <c r="M493" s="12"/>
      <c r="N493" s="12"/>
    </row>
    <row r="494" spans="13:14" x14ac:dyDescent="0.2">
      <c r="M494" s="12"/>
      <c r="N494" s="12"/>
    </row>
    <row r="495" spans="13:14" x14ac:dyDescent="0.2">
      <c r="M495" s="12"/>
      <c r="N495" s="12"/>
    </row>
    <row r="496" spans="13:14" x14ac:dyDescent="0.2">
      <c r="M496" s="12"/>
      <c r="N496" s="12"/>
    </row>
    <row r="497" spans="13:14" x14ac:dyDescent="0.2">
      <c r="M497" s="12"/>
      <c r="N497" s="12"/>
    </row>
    <row r="498" spans="13:14" x14ac:dyDescent="0.2">
      <c r="M498" s="12"/>
      <c r="N498" s="12"/>
    </row>
    <row r="499" spans="13:14" x14ac:dyDescent="0.2">
      <c r="M499" s="12"/>
      <c r="N499" s="12"/>
    </row>
    <row r="500" spans="13:14" x14ac:dyDescent="0.2">
      <c r="M500" s="12"/>
      <c r="N500" s="12"/>
    </row>
    <row r="501" spans="13:14" x14ac:dyDescent="0.2">
      <c r="M501" s="12"/>
      <c r="N501" s="12"/>
    </row>
    <row r="502" spans="13:14" x14ac:dyDescent="0.2">
      <c r="M502" s="12"/>
      <c r="N502" s="12"/>
    </row>
    <row r="503" spans="13:14" x14ac:dyDescent="0.2">
      <c r="M503" s="12"/>
      <c r="N503" s="12"/>
    </row>
    <row r="504" spans="13:14" x14ac:dyDescent="0.2">
      <c r="M504" s="12"/>
      <c r="N504" s="12"/>
    </row>
    <row r="505" spans="13:14" x14ac:dyDescent="0.2">
      <c r="M505" s="12"/>
      <c r="N505" s="12"/>
    </row>
    <row r="506" spans="13:14" x14ac:dyDescent="0.2">
      <c r="M506" s="12"/>
      <c r="N506" s="12"/>
    </row>
    <row r="507" spans="13:14" x14ac:dyDescent="0.2">
      <c r="M507" s="12"/>
      <c r="N507" s="12"/>
    </row>
    <row r="508" spans="13:14" x14ac:dyDescent="0.2">
      <c r="M508" s="12"/>
      <c r="N508" s="12"/>
    </row>
    <row r="509" spans="13:14" x14ac:dyDescent="0.2">
      <c r="M509" s="12"/>
      <c r="N509" s="12"/>
    </row>
    <row r="510" spans="13:14" x14ac:dyDescent="0.2">
      <c r="M510" s="12"/>
      <c r="N510" s="12"/>
    </row>
    <row r="511" spans="13:14" x14ac:dyDescent="0.2">
      <c r="M511" s="12"/>
      <c r="N511" s="12"/>
    </row>
    <row r="512" spans="13:14" x14ac:dyDescent="0.2">
      <c r="M512" s="12"/>
      <c r="N512" s="12"/>
    </row>
    <row r="513" spans="13:14" x14ac:dyDescent="0.2">
      <c r="M513" s="12"/>
      <c r="N513" s="12"/>
    </row>
    <row r="514" spans="13:14" x14ac:dyDescent="0.2">
      <c r="M514" s="12"/>
      <c r="N514" s="12"/>
    </row>
    <row r="515" spans="13:14" x14ac:dyDescent="0.2">
      <c r="M515" s="12"/>
      <c r="N515" s="12"/>
    </row>
    <row r="516" spans="13:14" x14ac:dyDescent="0.2">
      <c r="M516" s="12"/>
      <c r="N516" s="12"/>
    </row>
    <row r="517" spans="13:14" x14ac:dyDescent="0.2">
      <c r="M517" s="12"/>
      <c r="N517" s="12"/>
    </row>
    <row r="518" spans="13:14" x14ac:dyDescent="0.2">
      <c r="M518" s="12"/>
      <c r="N518" s="12"/>
    </row>
    <row r="519" spans="13:14" x14ac:dyDescent="0.2">
      <c r="M519" s="12"/>
      <c r="N519" s="12"/>
    </row>
    <row r="520" spans="13:14" x14ac:dyDescent="0.2">
      <c r="M520" s="12"/>
      <c r="N520" s="12"/>
    </row>
    <row r="521" spans="13:14" x14ac:dyDescent="0.2">
      <c r="M521" s="12"/>
      <c r="N521" s="12"/>
    </row>
    <row r="522" spans="13:14" x14ac:dyDescent="0.2">
      <c r="M522" s="12"/>
      <c r="N522" s="12"/>
    </row>
    <row r="523" spans="13:14" x14ac:dyDescent="0.2">
      <c r="M523" s="12"/>
      <c r="N523" s="12"/>
    </row>
    <row r="524" spans="13:14" x14ac:dyDescent="0.2">
      <c r="M524" s="12"/>
      <c r="N524" s="12"/>
    </row>
    <row r="525" spans="13:14" x14ac:dyDescent="0.2">
      <c r="M525" s="12"/>
      <c r="N525" s="12"/>
    </row>
    <row r="526" spans="13:14" x14ac:dyDescent="0.2">
      <c r="M526" s="12"/>
      <c r="N526" s="12"/>
    </row>
    <row r="527" spans="13:14" x14ac:dyDescent="0.2">
      <c r="M527" s="12"/>
      <c r="N527" s="12"/>
    </row>
    <row r="528" spans="13:14" x14ac:dyDescent="0.2">
      <c r="M528" s="12"/>
      <c r="N528" s="12"/>
    </row>
    <row r="529" spans="13:14" x14ac:dyDescent="0.2">
      <c r="M529" s="12"/>
      <c r="N529" s="12"/>
    </row>
    <row r="530" spans="13:14" x14ac:dyDescent="0.2">
      <c r="M530" s="12"/>
      <c r="N530" s="12"/>
    </row>
    <row r="531" spans="13:14" x14ac:dyDescent="0.2">
      <c r="M531" s="12"/>
      <c r="N531" s="12"/>
    </row>
    <row r="532" spans="13:14" x14ac:dyDescent="0.2">
      <c r="M532" s="12"/>
      <c r="N532" s="12"/>
    </row>
    <row r="533" spans="13:14" x14ac:dyDescent="0.2">
      <c r="M533" s="12"/>
      <c r="N533" s="12"/>
    </row>
    <row r="534" spans="13:14" x14ac:dyDescent="0.2">
      <c r="M534" s="12"/>
      <c r="N534" s="12"/>
    </row>
    <row r="535" spans="13:14" x14ac:dyDescent="0.2">
      <c r="M535" s="12"/>
      <c r="N535" s="12"/>
    </row>
    <row r="536" spans="13:14" x14ac:dyDescent="0.2">
      <c r="M536" s="12"/>
      <c r="N536" s="12"/>
    </row>
    <row r="537" spans="13:14" x14ac:dyDescent="0.2">
      <c r="M537" s="12"/>
      <c r="N537" s="12"/>
    </row>
    <row r="538" spans="13:14" x14ac:dyDescent="0.2">
      <c r="M538" s="12"/>
      <c r="N538" s="12"/>
    </row>
    <row r="539" spans="13:14" x14ac:dyDescent="0.2">
      <c r="M539" s="12"/>
      <c r="N539" s="12"/>
    </row>
    <row r="540" spans="13:14" x14ac:dyDescent="0.2">
      <c r="M540" s="12"/>
      <c r="N540" s="12"/>
    </row>
    <row r="541" spans="13:14" x14ac:dyDescent="0.2">
      <c r="M541" s="12"/>
      <c r="N541" s="12"/>
    </row>
    <row r="542" spans="13:14" x14ac:dyDescent="0.2">
      <c r="M542" s="12"/>
      <c r="N542" s="12"/>
    </row>
    <row r="543" spans="13:14" x14ac:dyDescent="0.2">
      <c r="M543" s="12"/>
      <c r="N543" s="12"/>
    </row>
    <row r="544" spans="13:14" x14ac:dyDescent="0.2">
      <c r="M544" s="12"/>
      <c r="N544" s="12"/>
    </row>
    <row r="545" spans="13:14" x14ac:dyDescent="0.2">
      <c r="M545" s="12"/>
      <c r="N545" s="12"/>
    </row>
    <row r="546" spans="13:14" x14ac:dyDescent="0.2">
      <c r="M546" s="12"/>
      <c r="N546" s="12"/>
    </row>
    <row r="547" spans="13:14" x14ac:dyDescent="0.2">
      <c r="M547" s="12"/>
      <c r="N547" s="12"/>
    </row>
    <row r="548" spans="13:14" x14ac:dyDescent="0.2">
      <c r="M548" s="12"/>
      <c r="N548" s="12"/>
    </row>
    <row r="549" spans="13:14" x14ac:dyDescent="0.2">
      <c r="M549" s="12"/>
      <c r="N549" s="12"/>
    </row>
    <row r="550" spans="13:14" x14ac:dyDescent="0.2">
      <c r="M550" s="12"/>
      <c r="N550" s="12"/>
    </row>
    <row r="551" spans="13:14" x14ac:dyDescent="0.2">
      <c r="M551" s="12"/>
      <c r="N551" s="12"/>
    </row>
    <row r="552" spans="13:14" x14ac:dyDescent="0.2">
      <c r="M552" s="12"/>
      <c r="N552" s="12"/>
    </row>
    <row r="553" spans="13:14" x14ac:dyDescent="0.2">
      <c r="M553" s="12"/>
      <c r="N553" s="12"/>
    </row>
    <row r="554" spans="13:14" x14ac:dyDescent="0.2">
      <c r="M554" s="12"/>
      <c r="N554" s="12"/>
    </row>
    <row r="555" spans="13:14" x14ac:dyDescent="0.2">
      <c r="M555" s="12"/>
      <c r="N555" s="12"/>
    </row>
    <row r="556" spans="13:14" x14ac:dyDescent="0.2">
      <c r="M556" s="12"/>
      <c r="N556" s="12"/>
    </row>
    <row r="557" spans="13:14" x14ac:dyDescent="0.2">
      <c r="M557" s="12"/>
      <c r="N557" s="12"/>
    </row>
    <row r="558" spans="13:14" x14ac:dyDescent="0.2">
      <c r="M558" s="12"/>
      <c r="N558" s="12"/>
    </row>
    <row r="559" spans="13:14" x14ac:dyDescent="0.2">
      <c r="M559" s="12"/>
      <c r="N559" s="12"/>
    </row>
    <row r="560" spans="13:14" x14ac:dyDescent="0.2">
      <c r="M560" s="12"/>
      <c r="N560" s="12"/>
    </row>
    <row r="561" spans="13:14" x14ac:dyDescent="0.2">
      <c r="M561" s="12"/>
      <c r="N561" s="12"/>
    </row>
    <row r="562" spans="13:14" x14ac:dyDescent="0.2">
      <c r="M562" s="12"/>
      <c r="N562" s="12"/>
    </row>
    <row r="563" spans="13:14" x14ac:dyDescent="0.2">
      <c r="M563" s="12"/>
      <c r="N563" s="12"/>
    </row>
    <row r="564" spans="13:14" x14ac:dyDescent="0.2">
      <c r="M564" s="12"/>
      <c r="N564" s="12"/>
    </row>
    <row r="565" spans="13:14" x14ac:dyDescent="0.2">
      <c r="M565" s="12"/>
      <c r="N565" s="12"/>
    </row>
    <row r="566" spans="13:14" x14ac:dyDescent="0.2">
      <c r="M566" s="12"/>
      <c r="N566" s="12"/>
    </row>
    <row r="567" spans="13:14" x14ac:dyDescent="0.2">
      <c r="M567" s="12"/>
      <c r="N567" s="12"/>
    </row>
    <row r="568" spans="13:14" x14ac:dyDescent="0.2">
      <c r="M568" s="12"/>
      <c r="N568" s="12"/>
    </row>
    <row r="569" spans="13:14" x14ac:dyDescent="0.2">
      <c r="M569" s="12"/>
      <c r="N569" s="12"/>
    </row>
    <row r="570" spans="13:14" x14ac:dyDescent="0.2">
      <c r="M570" s="12"/>
      <c r="N570" s="12"/>
    </row>
    <row r="571" spans="13:14" x14ac:dyDescent="0.2">
      <c r="M571" s="12"/>
      <c r="N571" s="12"/>
    </row>
    <row r="572" spans="13:14" x14ac:dyDescent="0.2">
      <c r="M572" s="12"/>
      <c r="N572" s="12"/>
    </row>
    <row r="573" spans="13:14" x14ac:dyDescent="0.2">
      <c r="M573" s="12"/>
      <c r="N573" s="12"/>
    </row>
    <row r="574" spans="13:14" x14ac:dyDescent="0.2">
      <c r="M574" s="12"/>
      <c r="N574" s="12"/>
    </row>
    <row r="575" spans="13:14" x14ac:dyDescent="0.2">
      <c r="M575" s="12"/>
      <c r="N575" s="12"/>
    </row>
    <row r="576" spans="13:14" x14ac:dyDescent="0.2">
      <c r="M576" s="12"/>
      <c r="N576" s="12"/>
    </row>
    <row r="577" spans="13:14" x14ac:dyDescent="0.2">
      <c r="M577" s="12"/>
      <c r="N577" s="12"/>
    </row>
    <row r="578" spans="13:14" x14ac:dyDescent="0.2">
      <c r="M578" s="12"/>
      <c r="N578" s="12"/>
    </row>
    <row r="579" spans="13:14" x14ac:dyDescent="0.2">
      <c r="M579" s="12"/>
      <c r="N579" s="12"/>
    </row>
    <row r="580" spans="13:14" x14ac:dyDescent="0.2">
      <c r="M580" s="12"/>
      <c r="N580" s="12"/>
    </row>
    <row r="581" spans="13:14" x14ac:dyDescent="0.2">
      <c r="M581" s="12"/>
      <c r="N581" s="12"/>
    </row>
    <row r="582" spans="13:14" x14ac:dyDescent="0.2">
      <c r="M582" s="12"/>
      <c r="N582" s="12"/>
    </row>
    <row r="583" spans="13:14" x14ac:dyDescent="0.2">
      <c r="M583" s="12"/>
      <c r="N583" s="12"/>
    </row>
    <row r="584" spans="13:14" x14ac:dyDescent="0.2">
      <c r="M584" s="12"/>
      <c r="N584" s="12"/>
    </row>
    <row r="585" spans="13:14" x14ac:dyDescent="0.2">
      <c r="M585" s="12"/>
      <c r="N585" s="12"/>
    </row>
    <row r="586" spans="13:14" x14ac:dyDescent="0.2">
      <c r="M586" s="12"/>
      <c r="N586" s="12"/>
    </row>
    <row r="587" spans="13:14" x14ac:dyDescent="0.2">
      <c r="M587" s="12"/>
      <c r="N587" s="12"/>
    </row>
    <row r="588" spans="13:14" x14ac:dyDescent="0.2">
      <c r="M588" s="12"/>
      <c r="N588" s="12"/>
    </row>
    <row r="589" spans="13:14" x14ac:dyDescent="0.2">
      <c r="M589" s="12"/>
      <c r="N589" s="12"/>
    </row>
    <row r="590" spans="13:14" x14ac:dyDescent="0.2">
      <c r="M590" s="12"/>
      <c r="N590" s="12"/>
    </row>
    <row r="591" spans="13:14" x14ac:dyDescent="0.2">
      <c r="M591" s="12"/>
      <c r="N591" s="12"/>
    </row>
    <row r="592" spans="13:14" x14ac:dyDescent="0.2">
      <c r="M592" s="12"/>
      <c r="N592" s="12"/>
    </row>
    <row r="593" spans="13:14" x14ac:dyDescent="0.2">
      <c r="M593" s="12"/>
      <c r="N593" s="12"/>
    </row>
    <row r="594" spans="13:14" x14ac:dyDescent="0.2">
      <c r="M594" s="12"/>
      <c r="N594" s="12"/>
    </row>
    <row r="595" spans="13:14" x14ac:dyDescent="0.2">
      <c r="M595" s="12"/>
      <c r="N595" s="12"/>
    </row>
    <row r="596" spans="13:14" x14ac:dyDescent="0.2">
      <c r="M596" s="12"/>
      <c r="N596" s="12"/>
    </row>
    <row r="597" spans="13:14" x14ac:dyDescent="0.2">
      <c r="M597" s="12"/>
      <c r="N597" s="12"/>
    </row>
    <row r="598" spans="13:14" x14ac:dyDescent="0.2">
      <c r="M598" s="12"/>
      <c r="N598" s="12"/>
    </row>
    <row r="599" spans="13:14" x14ac:dyDescent="0.2">
      <c r="M599" s="12"/>
      <c r="N599" s="12"/>
    </row>
    <row r="600" spans="13:14" x14ac:dyDescent="0.2">
      <c r="M600" s="12"/>
      <c r="N600" s="12"/>
    </row>
    <row r="601" spans="13:14" x14ac:dyDescent="0.2">
      <c r="M601" s="12"/>
      <c r="N601" s="12"/>
    </row>
    <row r="602" spans="13:14" x14ac:dyDescent="0.2">
      <c r="M602" s="12"/>
      <c r="N602" s="12"/>
    </row>
    <row r="603" spans="13:14" x14ac:dyDescent="0.2">
      <c r="M603" s="12"/>
      <c r="N603" s="12"/>
    </row>
    <row r="604" spans="13:14" x14ac:dyDescent="0.2">
      <c r="M604" s="12"/>
      <c r="N604" s="12"/>
    </row>
    <row r="605" spans="13:14" x14ac:dyDescent="0.2">
      <c r="M605" s="12"/>
      <c r="N605" s="12"/>
    </row>
    <row r="606" spans="13:14" x14ac:dyDescent="0.2">
      <c r="M606" s="12"/>
      <c r="N606" s="12"/>
    </row>
    <row r="607" spans="13:14" x14ac:dyDescent="0.2">
      <c r="M607" s="12"/>
      <c r="N607" s="12"/>
    </row>
    <row r="608" spans="13:14" x14ac:dyDescent="0.2">
      <c r="M608" s="12"/>
      <c r="N608" s="12"/>
    </row>
    <row r="609" spans="13:14" x14ac:dyDescent="0.2">
      <c r="M609" s="12"/>
      <c r="N609" s="12"/>
    </row>
    <row r="610" spans="13:14" x14ac:dyDescent="0.2">
      <c r="M610" s="12"/>
      <c r="N610" s="12"/>
    </row>
    <row r="611" spans="13:14" x14ac:dyDescent="0.2">
      <c r="M611" s="12"/>
      <c r="N611" s="12"/>
    </row>
    <row r="612" spans="13:14" x14ac:dyDescent="0.2">
      <c r="M612" s="12"/>
      <c r="N612" s="12"/>
    </row>
    <row r="613" spans="13:14" x14ac:dyDescent="0.2">
      <c r="M613" s="12"/>
      <c r="N613" s="12"/>
    </row>
    <row r="614" spans="13:14" x14ac:dyDescent="0.2">
      <c r="M614" s="12"/>
      <c r="N614" s="12"/>
    </row>
    <row r="615" spans="13:14" x14ac:dyDescent="0.2">
      <c r="M615" s="12"/>
      <c r="N615" s="12"/>
    </row>
    <row r="616" spans="13:14" x14ac:dyDescent="0.2">
      <c r="M616" s="12"/>
      <c r="N616" s="12"/>
    </row>
    <row r="617" spans="13:14" x14ac:dyDescent="0.2">
      <c r="M617" s="12"/>
      <c r="N617" s="12"/>
    </row>
    <row r="618" spans="13:14" x14ac:dyDescent="0.2">
      <c r="M618" s="12"/>
      <c r="N618" s="12"/>
    </row>
    <row r="619" spans="13:14" x14ac:dyDescent="0.2">
      <c r="M619" s="12"/>
      <c r="N619" s="12"/>
    </row>
    <row r="620" spans="13:14" x14ac:dyDescent="0.2">
      <c r="M620" s="12"/>
      <c r="N620" s="12"/>
    </row>
    <row r="621" spans="13:14" x14ac:dyDescent="0.2">
      <c r="M621" s="12"/>
      <c r="N621" s="12"/>
    </row>
    <row r="622" spans="13:14" x14ac:dyDescent="0.2">
      <c r="M622" s="12"/>
      <c r="N622" s="12"/>
    </row>
    <row r="623" spans="13:14" x14ac:dyDescent="0.2">
      <c r="M623" s="12"/>
      <c r="N623" s="12"/>
    </row>
    <row r="624" spans="13:14" x14ac:dyDescent="0.2">
      <c r="M624" s="12"/>
      <c r="N624" s="12"/>
    </row>
    <row r="625" spans="13:14" x14ac:dyDescent="0.2">
      <c r="M625" s="12"/>
      <c r="N625" s="12"/>
    </row>
    <row r="626" spans="13:14" x14ac:dyDescent="0.2">
      <c r="M626" s="12"/>
      <c r="N626" s="12"/>
    </row>
    <row r="627" spans="13:14" x14ac:dyDescent="0.2">
      <c r="M627" s="12"/>
      <c r="N627" s="12"/>
    </row>
    <row r="628" spans="13:14" x14ac:dyDescent="0.2">
      <c r="M628" s="12"/>
      <c r="N628" s="12"/>
    </row>
    <row r="629" spans="13:14" x14ac:dyDescent="0.2">
      <c r="M629" s="12"/>
      <c r="N629" s="12"/>
    </row>
    <row r="630" spans="13:14" x14ac:dyDescent="0.2">
      <c r="M630" s="12"/>
      <c r="N630" s="12"/>
    </row>
    <row r="631" spans="13:14" x14ac:dyDescent="0.2">
      <c r="M631" s="12"/>
      <c r="N631" s="12"/>
    </row>
    <row r="632" spans="13:14" x14ac:dyDescent="0.2">
      <c r="M632" s="12"/>
      <c r="N632" s="12"/>
    </row>
    <row r="633" spans="13:14" x14ac:dyDescent="0.2">
      <c r="M633" s="12"/>
      <c r="N633" s="12"/>
    </row>
    <row r="634" spans="13:14" x14ac:dyDescent="0.2">
      <c r="M634" s="12"/>
      <c r="N634" s="12"/>
    </row>
    <row r="635" spans="13:14" x14ac:dyDescent="0.2">
      <c r="M635" s="12"/>
      <c r="N635" s="12"/>
    </row>
    <row r="636" spans="13:14" x14ac:dyDescent="0.2">
      <c r="M636" s="12"/>
      <c r="N636" s="12"/>
    </row>
    <row r="637" spans="13:14" x14ac:dyDescent="0.2">
      <c r="M637" s="12"/>
      <c r="N637" s="12"/>
    </row>
    <row r="638" spans="13:14" x14ac:dyDescent="0.2">
      <c r="M638" s="12"/>
      <c r="N638" s="12"/>
    </row>
    <row r="639" spans="13:14" x14ac:dyDescent="0.2">
      <c r="M639" s="12"/>
      <c r="N639" s="12"/>
    </row>
    <row r="640" spans="13:14" x14ac:dyDescent="0.2">
      <c r="M640" s="12"/>
      <c r="N640" s="12"/>
    </row>
    <row r="641" spans="13:14" x14ac:dyDescent="0.2">
      <c r="M641" s="12"/>
      <c r="N641" s="12"/>
    </row>
    <row r="642" spans="13:14" x14ac:dyDescent="0.2">
      <c r="M642" s="12"/>
      <c r="N642" s="12"/>
    </row>
    <row r="643" spans="13:14" x14ac:dyDescent="0.2">
      <c r="M643" s="12"/>
      <c r="N643" s="12"/>
    </row>
    <row r="644" spans="13:14" x14ac:dyDescent="0.2">
      <c r="M644" s="12"/>
      <c r="N644" s="12"/>
    </row>
    <row r="645" spans="13:14" x14ac:dyDescent="0.2">
      <c r="M645" s="12"/>
      <c r="N645" s="12"/>
    </row>
    <row r="646" spans="13:14" x14ac:dyDescent="0.2">
      <c r="M646" s="12"/>
      <c r="N646" s="12"/>
    </row>
    <row r="647" spans="13:14" x14ac:dyDescent="0.2">
      <c r="M647" s="12"/>
      <c r="N647" s="12"/>
    </row>
    <row r="648" spans="13:14" x14ac:dyDescent="0.2">
      <c r="M648" s="12"/>
      <c r="N648" s="12"/>
    </row>
    <row r="649" spans="13:14" x14ac:dyDescent="0.2">
      <c r="M649" s="12"/>
      <c r="N649" s="12"/>
    </row>
    <row r="650" spans="13:14" x14ac:dyDescent="0.2">
      <c r="M650" s="12"/>
      <c r="N650" s="12"/>
    </row>
    <row r="651" spans="13:14" x14ac:dyDescent="0.2">
      <c r="M651" s="12"/>
      <c r="N651" s="12"/>
    </row>
    <row r="652" spans="13:14" x14ac:dyDescent="0.2">
      <c r="M652" s="12"/>
      <c r="N652" s="12"/>
    </row>
    <row r="653" spans="13:14" x14ac:dyDescent="0.2">
      <c r="M653" s="12"/>
      <c r="N653" s="12"/>
    </row>
    <row r="654" spans="13:14" x14ac:dyDescent="0.2">
      <c r="M654" s="12"/>
      <c r="N654" s="12"/>
    </row>
    <row r="655" spans="13:14" x14ac:dyDescent="0.2">
      <c r="M655" s="12"/>
      <c r="N655" s="12"/>
    </row>
    <row r="656" spans="13:14" x14ac:dyDescent="0.2">
      <c r="M656" s="12"/>
      <c r="N656" s="12"/>
    </row>
    <row r="657" spans="13:14" x14ac:dyDescent="0.2">
      <c r="M657" s="12"/>
      <c r="N657" s="12"/>
    </row>
    <row r="658" spans="13:14" x14ac:dyDescent="0.2">
      <c r="M658" s="12"/>
      <c r="N658" s="12"/>
    </row>
    <row r="659" spans="13:14" x14ac:dyDescent="0.2">
      <c r="M659" s="12"/>
      <c r="N659" s="12"/>
    </row>
    <row r="660" spans="13:14" x14ac:dyDescent="0.2">
      <c r="M660" s="12"/>
      <c r="N660" s="12"/>
    </row>
    <row r="661" spans="13:14" x14ac:dyDescent="0.2">
      <c r="M661" s="12"/>
      <c r="N661" s="12"/>
    </row>
    <row r="662" spans="13:14" x14ac:dyDescent="0.2">
      <c r="M662" s="12"/>
      <c r="N662" s="12"/>
    </row>
    <row r="663" spans="13:14" x14ac:dyDescent="0.2">
      <c r="M663" s="12"/>
      <c r="N663" s="12"/>
    </row>
    <row r="664" spans="13:14" x14ac:dyDescent="0.2">
      <c r="M664" s="12"/>
      <c r="N664" s="12"/>
    </row>
    <row r="665" spans="13:14" x14ac:dyDescent="0.2">
      <c r="M665" s="12"/>
      <c r="N665" s="12"/>
    </row>
    <row r="666" spans="13:14" x14ac:dyDescent="0.2">
      <c r="M666" s="12"/>
      <c r="N666" s="12"/>
    </row>
    <row r="667" spans="13:14" x14ac:dyDescent="0.2">
      <c r="M667" s="12"/>
      <c r="N667" s="12"/>
    </row>
    <row r="668" spans="13:14" x14ac:dyDescent="0.2">
      <c r="M668" s="12"/>
      <c r="N668" s="12"/>
    </row>
    <row r="669" spans="13:14" x14ac:dyDescent="0.2">
      <c r="M669" s="12"/>
      <c r="N669" s="12"/>
    </row>
    <row r="670" spans="13:14" x14ac:dyDescent="0.2">
      <c r="M670" s="12"/>
      <c r="N670" s="12"/>
    </row>
    <row r="671" spans="13:14" x14ac:dyDescent="0.2">
      <c r="M671" s="12"/>
      <c r="N671" s="12"/>
    </row>
    <row r="672" spans="13:14" x14ac:dyDescent="0.2">
      <c r="M672" s="12"/>
      <c r="N672" s="12"/>
    </row>
    <row r="673" spans="13:14" x14ac:dyDescent="0.2">
      <c r="M673" s="12"/>
      <c r="N673" s="12"/>
    </row>
    <row r="674" spans="13:14" x14ac:dyDescent="0.2">
      <c r="M674" s="12"/>
      <c r="N674" s="12"/>
    </row>
    <row r="675" spans="13:14" x14ac:dyDescent="0.2">
      <c r="M675" s="12"/>
      <c r="N675" s="12"/>
    </row>
    <row r="676" spans="13:14" x14ac:dyDescent="0.2">
      <c r="M676" s="12"/>
      <c r="N676" s="12"/>
    </row>
    <row r="677" spans="13:14" x14ac:dyDescent="0.2">
      <c r="M677" s="12"/>
      <c r="N677" s="12"/>
    </row>
    <row r="678" spans="13:14" x14ac:dyDescent="0.2">
      <c r="M678" s="12"/>
      <c r="N678" s="12"/>
    </row>
    <row r="679" spans="13:14" x14ac:dyDescent="0.2">
      <c r="M679" s="12"/>
      <c r="N679" s="12"/>
    </row>
    <row r="680" spans="13:14" x14ac:dyDescent="0.2">
      <c r="M680" s="12"/>
      <c r="N680" s="12"/>
    </row>
    <row r="681" spans="13:14" x14ac:dyDescent="0.2">
      <c r="M681" s="12"/>
      <c r="N681" s="12"/>
    </row>
    <row r="682" spans="13:14" x14ac:dyDescent="0.2">
      <c r="M682" s="12"/>
      <c r="N682" s="12"/>
    </row>
    <row r="683" spans="13:14" x14ac:dyDescent="0.2">
      <c r="M683" s="12"/>
      <c r="N683" s="12"/>
    </row>
    <row r="684" spans="13:14" x14ac:dyDescent="0.2">
      <c r="M684" s="12"/>
      <c r="N684" s="12"/>
    </row>
    <row r="685" spans="13:14" x14ac:dyDescent="0.2">
      <c r="M685" s="12"/>
      <c r="N685" s="12"/>
    </row>
    <row r="686" spans="13:14" x14ac:dyDescent="0.2">
      <c r="M686" s="12"/>
      <c r="N686" s="12"/>
    </row>
    <row r="687" spans="13:14" x14ac:dyDescent="0.2">
      <c r="M687" s="12"/>
      <c r="N687" s="12"/>
    </row>
    <row r="688" spans="13:14" x14ac:dyDescent="0.2">
      <c r="M688" s="12"/>
      <c r="N688" s="12"/>
    </row>
    <row r="689" spans="13:14" x14ac:dyDescent="0.2">
      <c r="M689" s="12"/>
      <c r="N689" s="12"/>
    </row>
    <row r="690" spans="13:14" x14ac:dyDescent="0.2">
      <c r="M690" s="12"/>
      <c r="N690" s="12"/>
    </row>
    <row r="691" spans="13:14" x14ac:dyDescent="0.2">
      <c r="M691" s="12"/>
      <c r="N691" s="12"/>
    </row>
    <row r="692" spans="13:14" x14ac:dyDescent="0.2">
      <c r="M692" s="12"/>
      <c r="N692" s="12"/>
    </row>
    <row r="693" spans="13:14" x14ac:dyDescent="0.2">
      <c r="M693" s="12"/>
      <c r="N693" s="12"/>
    </row>
    <row r="694" spans="13:14" x14ac:dyDescent="0.2">
      <c r="M694" s="12"/>
      <c r="N694" s="12"/>
    </row>
    <row r="695" spans="13:14" x14ac:dyDescent="0.2">
      <c r="M695" s="12"/>
      <c r="N695" s="12"/>
    </row>
    <row r="696" spans="13:14" x14ac:dyDescent="0.2">
      <c r="M696" s="12"/>
      <c r="N696" s="12"/>
    </row>
    <row r="697" spans="13:14" x14ac:dyDescent="0.2">
      <c r="M697" s="12"/>
      <c r="N697" s="12"/>
    </row>
    <row r="698" spans="13:14" x14ac:dyDescent="0.2">
      <c r="M698" s="12"/>
      <c r="N698" s="12"/>
    </row>
    <row r="699" spans="13:14" x14ac:dyDescent="0.2">
      <c r="M699" s="12"/>
      <c r="N699" s="12"/>
    </row>
    <row r="700" spans="13:14" x14ac:dyDescent="0.2">
      <c r="M700" s="12"/>
      <c r="N700" s="12"/>
    </row>
    <row r="701" spans="13:14" x14ac:dyDescent="0.2">
      <c r="M701" s="12"/>
      <c r="N701" s="12"/>
    </row>
    <row r="702" spans="13:14" x14ac:dyDescent="0.2">
      <c r="M702" s="12"/>
      <c r="N702" s="12"/>
    </row>
    <row r="703" spans="13:14" x14ac:dyDescent="0.2">
      <c r="M703" s="12"/>
      <c r="N703" s="12"/>
    </row>
    <row r="704" spans="13:14" x14ac:dyDescent="0.2">
      <c r="M704" s="12"/>
      <c r="N704" s="12"/>
    </row>
    <row r="705" spans="13:14" x14ac:dyDescent="0.2">
      <c r="M705" s="12"/>
      <c r="N705" s="12"/>
    </row>
    <row r="706" spans="13:14" x14ac:dyDescent="0.2">
      <c r="M706" s="12"/>
      <c r="N706" s="12"/>
    </row>
    <row r="707" spans="13:14" x14ac:dyDescent="0.2">
      <c r="M707" s="12"/>
      <c r="N707" s="12"/>
    </row>
    <row r="708" spans="13:14" x14ac:dyDescent="0.2">
      <c r="M708" s="12"/>
      <c r="N708" s="12"/>
    </row>
    <row r="709" spans="13:14" x14ac:dyDescent="0.2">
      <c r="M709" s="12"/>
      <c r="N709" s="12"/>
    </row>
    <row r="710" spans="13:14" x14ac:dyDescent="0.2">
      <c r="M710" s="12"/>
      <c r="N710" s="12"/>
    </row>
    <row r="711" spans="13:14" x14ac:dyDescent="0.2">
      <c r="M711" s="12"/>
      <c r="N711" s="12"/>
    </row>
    <row r="712" spans="13:14" x14ac:dyDescent="0.2">
      <c r="M712" s="12"/>
      <c r="N712" s="12"/>
    </row>
    <row r="713" spans="13:14" x14ac:dyDescent="0.2">
      <c r="M713" s="12"/>
      <c r="N713" s="12"/>
    </row>
    <row r="714" spans="13:14" x14ac:dyDescent="0.2">
      <c r="M714" s="12"/>
      <c r="N714" s="12"/>
    </row>
    <row r="715" spans="13:14" x14ac:dyDescent="0.2">
      <c r="M715" s="12"/>
      <c r="N715" s="12"/>
    </row>
    <row r="716" spans="13:14" x14ac:dyDescent="0.2">
      <c r="M716" s="12"/>
      <c r="N716" s="12"/>
    </row>
    <row r="717" spans="13:14" x14ac:dyDescent="0.2">
      <c r="M717" s="12"/>
      <c r="N717" s="12"/>
    </row>
    <row r="718" spans="13:14" x14ac:dyDescent="0.2">
      <c r="M718" s="12"/>
      <c r="N718" s="12"/>
    </row>
    <row r="719" spans="13:14" x14ac:dyDescent="0.2">
      <c r="M719" s="12"/>
      <c r="N719" s="12"/>
    </row>
    <row r="720" spans="13:14" x14ac:dyDescent="0.2">
      <c r="M720" s="12"/>
      <c r="N720" s="12"/>
    </row>
    <row r="721" spans="13:14" x14ac:dyDescent="0.2">
      <c r="M721" s="12"/>
      <c r="N721" s="12"/>
    </row>
    <row r="722" spans="13:14" x14ac:dyDescent="0.2">
      <c r="M722" s="12"/>
      <c r="N722" s="12"/>
    </row>
    <row r="723" spans="13:14" x14ac:dyDescent="0.2">
      <c r="M723" s="12"/>
      <c r="N723" s="12"/>
    </row>
    <row r="724" spans="13:14" x14ac:dyDescent="0.2">
      <c r="M724" s="12"/>
      <c r="N724" s="12"/>
    </row>
    <row r="725" spans="13:14" x14ac:dyDescent="0.2">
      <c r="M725" s="12"/>
      <c r="N725" s="12"/>
    </row>
    <row r="726" spans="13:14" x14ac:dyDescent="0.2">
      <c r="M726" s="12"/>
      <c r="N726" s="12"/>
    </row>
    <row r="727" spans="13:14" x14ac:dyDescent="0.2">
      <c r="M727" s="12"/>
      <c r="N727" s="12"/>
    </row>
    <row r="728" spans="13:14" x14ac:dyDescent="0.2">
      <c r="M728" s="12"/>
      <c r="N728" s="12"/>
    </row>
    <row r="729" spans="13:14" x14ac:dyDescent="0.2">
      <c r="M729" s="12"/>
      <c r="N729" s="12"/>
    </row>
    <row r="730" spans="13:14" x14ac:dyDescent="0.2">
      <c r="M730" s="12"/>
      <c r="N730" s="12"/>
    </row>
    <row r="731" spans="13:14" x14ac:dyDescent="0.2">
      <c r="M731" s="12"/>
      <c r="N731" s="12"/>
    </row>
    <row r="732" spans="13:14" x14ac:dyDescent="0.2">
      <c r="M732" s="12"/>
      <c r="N732" s="12"/>
    </row>
    <row r="733" spans="13:14" x14ac:dyDescent="0.2">
      <c r="M733" s="12"/>
      <c r="N733" s="12"/>
    </row>
    <row r="734" spans="13:14" x14ac:dyDescent="0.2">
      <c r="M734" s="12"/>
      <c r="N734" s="12"/>
    </row>
    <row r="735" spans="13:14" x14ac:dyDescent="0.2">
      <c r="M735" s="12"/>
      <c r="N735" s="12"/>
    </row>
    <row r="736" spans="13:14" x14ac:dyDescent="0.2">
      <c r="M736" s="12"/>
      <c r="N736" s="12"/>
    </row>
    <row r="737" spans="13:14" x14ac:dyDescent="0.2">
      <c r="M737" s="12"/>
      <c r="N737" s="12"/>
    </row>
    <row r="738" spans="13:14" x14ac:dyDescent="0.2">
      <c r="M738" s="12"/>
      <c r="N738" s="12"/>
    </row>
    <row r="739" spans="13:14" x14ac:dyDescent="0.2">
      <c r="M739" s="12"/>
      <c r="N739" s="12"/>
    </row>
    <row r="740" spans="13:14" x14ac:dyDescent="0.2">
      <c r="M740" s="12"/>
      <c r="N740" s="12"/>
    </row>
    <row r="741" spans="13:14" x14ac:dyDescent="0.2">
      <c r="M741" s="12"/>
      <c r="N741" s="12"/>
    </row>
    <row r="742" spans="13:14" x14ac:dyDescent="0.2">
      <c r="M742" s="12"/>
      <c r="N742" s="12"/>
    </row>
    <row r="743" spans="13:14" x14ac:dyDescent="0.2">
      <c r="M743" s="12"/>
      <c r="N743" s="12"/>
    </row>
    <row r="744" spans="13:14" x14ac:dyDescent="0.2">
      <c r="M744" s="12"/>
      <c r="N744" s="12"/>
    </row>
    <row r="745" spans="13:14" x14ac:dyDescent="0.2">
      <c r="M745" s="12"/>
      <c r="N745" s="12"/>
    </row>
    <row r="746" spans="13:14" x14ac:dyDescent="0.2">
      <c r="M746" s="12"/>
      <c r="N746" s="12"/>
    </row>
    <row r="747" spans="13:14" x14ac:dyDescent="0.2">
      <c r="M747" s="12"/>
      <c r="N747" s="12"/>
    </row>
    <row r="748" spans="13:14" x14ac:dyDescent="0.2">
      <c r="M748" s="12"/>
      <c r="N748" s="12"/>
    </row>
    <row r="749" spans="13:14" x14ac:dyDescent="0.2">
      <c r="M749" s="12"/>
      <c r="N749" s="12"/>
    </row>
    <row r="750" spans="13:14" x14ac:dyDescent="0.2">
      <c r="M750" s="12"/>
      <c r="N750" s="12"/>
    </row>
    <row r="751" spans="13:14" x14ac:dyDescent="0.2">
      <c r="M751" s="12"/>
      <c r="N751" s="12"/>
    </row>
    <row r="752" spans="13:14" x14ac:dyDescent="0.2">
      <c r="M752" s="12"/>
      <c r="N752" s="12"/>
    </row>
    <row r="753" spans="13:14" x14ac:dyDescent="0.2">
      <c r="M753" s="12"/>
      <c r="N753" s="12"/>
    </row>
    <row r="754" spans="13:14" x14ac:dyDescent="0.2">
      <c r="M754" s="12"/>
      <c r="N754" s="12"/>
    </row>
    <row r="755" spans="13:14" x14ac:dyDescent="0.2">
      <c r="M755" s="12"/>
      <c r="N755" s="12"/>
    </row>
    <row r="756" spans="13:14" x14ac:dyDescent="0.2">
      <c r="M756" s="12"/>
      <c r="N756" s="12"/>
    </row>
    <row r="757" spans="13:14" x14ac:dyDescent="0.2">
      <c r="M757" s="12"/>
      <c r="N757" s="12"/>
    </row>
    <row r="758" spans="13:14" x14ac:dyDescent="0.2">
      <c r="M758" s="12"/>
      <c r="N758" s="12"/>
    </row>
    <row r="759" spans="13:14" x14ac:dyDescent="0.2">
      <c r="M759" s="12"/>
      <c r="N759" s="12"/>
    </row>
    <row r="760" spans="13:14" x14ac:dyDescent="0.2">
      <c r="M760" s="12"/>
      <c r="N760" s="12"/>
    </row>
    <row r="761" spans="13:14" x14ac:dyDescent="0.2">
      <c r="M761" s="12"/>
      <c r="N761" s="12"/>
    </row>
    <row r="762" spans="13:14" x14ac:dyDescent="0.2">
      <c r="M762" s="12"/>
      <c r="N762" s="12"/>
    </row>
    <row r="763" spans="13:14" x14ac:dyDescent="0.2">
      <c r="M763" s="12"/>
      <c r="N763" s="12"/>
    </row>
    <row r="764" spans="13:14" x14ac:dyDescent="0.2">
      <c r="M764" s="12"/>
      <c r="N764" s="12"/>
    </row>
    <row r="765" spans="13:14" x14ac:dyDescent="0.2">
      <c r="M765" s="12"/>
      <c r="N765" s="12"/>
    </row>
    <row r="766" spans="13:14" x14ac:dyDescent="0.2">
      <c r="M766" s="12"/>
      <c r="N766" s="12"/>
    </row>
    <row r="767" spans="13:14" x14ac:dyDescent="0.2">
      <c r="M767" s="12"/>
      <c r="N767" s="12"/>
    </row>
    <row r="768" spans="13:14" x14ac:dyDescent="0.2">
      <c r="M768" s="12"/>
      <c r="N768" s="12"/>
    </row>
    <row r="769" spans="13:14" x14ac:dyDescent="0.2">
      <c r="M769" s="12"/>
      <c r="N769" s="12"/>
    </row>
    <row r="770" spans="13:14" x14ac:dyDescent="0.2">
      <c r="M770" s="12"/>
      <c r="N770" s="12"/>
    </row>
    <row r="771" spans="13:14" x14ac:dyDescent="0.2">
      <c r="M771" s="12"/>
      <c r="N771" s="12"/>
    </row>
    <row r="772" spans="13:14" x14ac:dyDescent="0.2">
      <c r="M772" s="12"/>
      <c r="N772" s="12"/>
    </row>
    <row r="773" spans="13:14" x14ac:dyDescent="0.2">
      <c r="M773" s="12"/>
      <c r="N773" s="12"/>
    </row>
    <row r="774" spans="13:14" x14ac:dyDescent="0.2">
      <c r="M774" s="12"/>
      <c r="N774" s="12"/>
    </row>
    <row r="775" spans="13:14" x14ac:dyDescent="0.2">
      <c r="M775" s="12"/>
      <c r="N775" s="12"/>
    </row>
    <row r="776" spans="13:14" x14ac:dyDescent="0.2">
      <c r="M776" s="12"/>
      <c r="N776" s="12"/>
    </row>
    <row r="777" spans="13:14" x14ac:dyDescent="0.2">
      <c r="M777" s="12"/>
      <c r="N777" s="12"/>
    </row>
    <row r="778" spans="13:14" x14ac:dyDescent="0.2">
      <c r="M778" s="12"/>
      <c r="N778" s="12"/>
    </row>
    <row r="779" spans="13:14" x14ac:dyDescent="0.2">
      <c r="M779" s="12"/>
      <c r="N779" s="12"/>
    </row>
    <row r="780" spans="13:14" x14ac:dyDescent="0.2">
      <c r="M780" s="12"/>
      <c r="N780" s="12"/>
    </row>
    <row r="781" spans="13:14" x14ac:dyDescent="0.2">
      <c r="M781" s="12"/>
      <c r="N781" s="12"/>
    </row>
    <row r="782" spans="13:14" x14ac:dyDescent="0.2">
      <c r="M782" s="12"/>
      <c r="N782" s="12"/>
    </row>
    <row r="783" spans="13:14" x14ac:dyDescent="0.2">
      <c r="M783" s="12"/>
      <c r="N783" s="12"/>
    </row>
    <row r="784" spans="13:14" x14ac:dyDescent="0.2">
      <c r="M784" s="12"/>
      <c r="N784" s="12"/>
    </row>
    <row r="785" spans="13:14" x14ac:dyDescent="0.2">
      <c r="M785" s="12"/>
      <c r="N785" s="12"/>
    </row>
    <row r="786" spans="13:14" x14ac:dyDescent="0.2">
      <c r="M786" s="12"/>
      <c r="N786" s="12"/>
    </row>
    <row r="787" spans="13:14" x14ac:dyDescent="0.2">
      <c r="M787" s="12"/>
      <c r="N787" s="12"/>
    </row>
    <row r="788" spans="13:14" x14ac:dyDescent="0.2">
      <c r="M788" s="12"/>
      <c r="N788" s="12"/>
    </row>
    <row r="789" spans="13:14" x14ac:dyDescent="0.2">
      <c r="M789" s="12"/>
      <c r="N789" s="12"/>
    </row>
    <row r="790" spans="13:14" x14ac:dyDescent="0.2">
      <c r="M790" s="12"/>
      <c r="N790" s="12"/>
    </row>
    <row r="791" spans="13:14" x14ac:dyDescent="0.2">
      <c r="M791" s="12"/>
      <c r="N791" s="12"/>
    </row>
    <row r="792" spans="13:14" x14ac:dyDescent="0.2">
      <c r="M792" s="12"/>
      <c r="N792" s="12"/>
    </row>
    <row r="793" spans="13:14" x14ac:dyDescent="0.2">
      <c r="M793" s="12"/>
      <c r="N793" s="12"/>
    </row>
    <row r="794" spans="13:14" x14ac:dyDescent="0.2">
      <c r="M794" s="12"/>
      <c r="N794" s="12"/>
    </row>
    <row r="795" spans="13:14" x14ac:dyDescent="0.2">
      <c r="M795" s="12"/>
      <c r="N795" s="12"/>
    </row>
    <row r="796" spans="13:14" x14ac:dyDescent="0.2">
      <c r="M796" s="12"/>
      <c r="N796" s="12"/>
    </row>
    <row r="797" spans="13:14" x14ac:dyDescent="0.2">
      <c r="M797" s="12"/>
      <c r="N797" s="12"/>
    </row>
    <row r="798" spans="13:14" x14ac:dyDescent="0.2">
      <c r="M798" s="12"/>
      <c r="N798" s="12"/>
    </row>
    <row r="799" spans="13:14" x14ac:dyDescent="0.2">
      <c r="M799" s="12"/>
      <c r="N799" s="12"/>
    </row>
    <row r="800" spans="13:14" x14ac:dyDescent="0.2">
      <c r="M800" s="12"/>
      <c r="N800" s="12"/>
    </row>
    <row r="801" spans="13:14" x14ac:dyDescent="0.2">
      <c r="M801" s="12"/>
      <c r="N801" s="12"/>
    </row>
    <row r="802" spans="13:14" x14ac:dyDescent="0.2">
      <c r="M802" s="12"/>
      <c r="N802" s="12"/>
    </row>
    <row r="803" spans="13:14" x14ac:dyDescent="0.2">
      <c r="M803" s="12"/>
      <c r="N803" s="12"/>
    </row>
    <row r="804" spans="13:14" x14ac:dyDescent="0.2">
      <c r="M804" s="12"/>
      <c r="N804" s="12"/>
    </row>
  </sheetData>
  <phoneticPr fontId="0" type="noConversion"/>
  <dataValidations count="1">
    <dataValidation type="list" allowBlank="1" showInputMessage="1" showErrorMessage="1" sqref="B41" xr:uid="{00000000-0002-0000-0000-000000000000}">
      <formula1>"Air: 28.9645,CH2O (Formaldehyde): 30.030,CH4 (Methane): 16.0,CO (Carbon monoxide): 28.0104,CO2 (Carbon dioxide): 44.0098,H2O (Water vapour): 18.0152,N2 (Nitrogen): 28.013,O2 (Oxygen): 31.9988,Ar (Argon): 39.948"</formula1>
    </dataValidation>
  </dataValidations>
  <pageMargins left="0.75" right="0.75" top="1" bottom="1" header="0.5" footer="0.5"/>
  <pageSetup paperSize="9" orientation="portrait" horizontalDpi="300" verticalDpi="300" r:id="rId1"/>
  <headerFooter alignWithMargins="0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O32"/>
  <sheetViews>
    <sheetView topLeftCell="A2" workbookViewId="0">
      <selection activeCell="C50" sqref="C50"/>
    </sheetView>
  </sheetViews>
  <sheetFormatPr defaultRowHeight="12.75" x14ac:dyDescent="0.2"/>
  <cols>
    <col min="2" max="2" width="12.42578125" bestFit="1" customWidth="1"/>
  </cols>
  <sheetData>
    <row r="1" spans="1:15" x14ac:dyDescent="0.2">
      <c r="A1" t="s">
        <v>29</v>
      </c>
      <c r="B1" t="s">
        <v>30</v>
      </c>
    </row>
    <row r="2" spans="1:15" x14ac:dyDescent="0.2">
      <c r="A2" t="s">
        <v>1</v>
      </c>
      <c r="B2" s="5">
        <v>1</v>
      </c>
      <c r="C2" s="5">
        <v>0.9</v>
      </c>
      <c r="D2" s="5">
        <v>0.8</v>
      </c>
      <c r="E2" s="5">
        <v>0.7</v>
      </c>
      <c r="F2" s="5">
        <v>0.6</v>
      </c>
      <c r="G2" s="5">
        <v>0.5</v>
      </c>
      <c r="H2" s="5">
        <v>0.4</v>
      </c>
      <c r="I2" s="5">
        <v>0.3</v>
      </c>
      <c r="J2" s="5">
        <v>0.2</v>
      </c>
      <c r="K2" s="5">
        <v>0.1</v>
      </c>
      <c r="L2" t="s">
        <v>31</v>
      </c>
      <c r="M2" t="s">
        <v>32</v>
      </c>
      <c r="N2" t="s">
        <v>33</v>
      </c>
      <c r="O2" t="s">
        <v>34</v>
      </c>
    </row>
    <row r="3" spans="1:15" x14ac:dyDescent="0.2">
      <c r="A3">
        <v>-20</v>
      </c>
      <c r="B3">
        <f>HumidRatio1_air(273.15+$A3,Psychrometrics!$B$13,B$2)</f>
        <v>7.7131501465268495E-4</v>
      </c>
      <c r="C3">
        <f>HumidRatio1_air(273.15+$A3,Psychrometrics!$B$13,C$2)</f>
        <v>6.9409743358678341E-4</v>
      </c>
      <c r="D3">
        <f>HumidRatio1_air(273.15+$A3,Psychrometrics!$B$13,D$2)</f>
        <v>6.1689900029462583E-4</v>
      </c>
      <c r="E3">
        <f>HumidRatio1_air(273.15+$A3,Psychrometrics!$B$13,E$2)</f>
        <v>5.3971970765493641E-4</v>
      </c>
      <c r="F3">
        <f>HumidRatio1_air(273.15+$A3,Psychrometrics!$B$13,F$2)</f>
        <v>4.6255954854997056E-4</v>
      </c>
      <c r="G3">
        <f>HumidRatio1_air(273.15+$A3,Psychrometrics!$B$13,G$2)</f>
        <v>3.8541851586551215E-4</v>
      </c>
      <c r="H3">
        <f>HumidRatio1_air(273.15+$A3,Psychrometrics!$B$13,H$2)</f>
        <v>3.0829660249087154E-4</v>
      </c>
      <c r="I3">
        <f>HumidRatio1_air(273.15+$A3,Psychrometrics!$B$13,I$2)</f>
        <v>2.3119380131888338E-4</v>
      </c>
      <c r="J3">
        <f>HumidRatio1_air(273.15+$A3,Psychrometrics!$B$13,J$2)</f>
        <v>1.541101052459046E-4</v>
      </c>
      <c r="K3">
        <f>HumidRatio1_air(273.15+$A3,Psychrometrics!$B$13,K$2)</f>
        <v>7.7045507171811945E-5</v>
      </c>
    </row>
    <row r="4" spans="1:15" x14ac:dyDescent="0.2">
      <c r="A4">
        <f>A3+2.5</f>
        <v>-17.5</v>
      </c>
      <c r="B4">
        <f>HumidRatio1_air(273.15+$A4,Psychrometrics!$B$13,B$2)</f>
        <v>9.5477526134112826E-4</v>
      </c>
      <c r="C4">
        <f>HumidRatio1_air(273.15+$A4,Psychrometrics!$B$13,C$2)</f>
        <v>8.5916584086101326E-4</v>
      </c>
      <c r="D4">
        <f>HumidRatio1_air(273.15+$A4,Psychrometrics!$B$13,D$2)</f>
        <v>7.6358576622039974E-4</v>
      </c>
      <c r="E4">
        <f>HumidRatio1_air(273.15+$A4,Psychrometrics!$B$13,E$2)</f>
        <v>6.6803502391048057E-4</v>
      </c>
      <c r="F4">
        <f>HumidRatio1_air(273.15+$A4,Psychrometrics!$B$13,F$2)</f>
        <v>5.7251360043073863E-4</v>
      </c>
      <c r="G4">
        <f>HumidRatio1_air(273.15+$A4,Psychrometrics!$B$13,G$2)</f>
        <v>4.7702148228894055E-4</v>
      </c>
      <c r="H4">
        <f>HumidRatio1_air(273.15+$A4,Psychrometrics!$B$13,H$2)</f>
        <v>3.8155865600113026E-4</v>
      </c>
      <c r="I4">
        <f>HumidRatio1_air(273.15+$A4,Psychrometrics!$B$13,I$2)</f>
        <v>2.861251080916227E-4</v>
      </c>
      <c r="J4">
        <f>HumidRatio1_air(273.15+$A4,Psychrometrics!$B$13,J$2)</f>
        <v>1.9072082509299779E-4</v>
      </c>
      <c r="K4">
        <f>HumidRatio1_air(273.15+$A4,Psychrometrics!$B$13,K$2)</f>
        <v>9.5345793546093517E-5</v>
      </c>
    </row>
    <row r="5" spans="1:15" x14ac:dyDescent="0.2">
      <c r="A5">
        <f t="shared" ref="A5:A27" si="0">A4+2.5</f>
        <v>-15</v>
      </c>
      <c r="B5">
        <f>HumidRatio1_air(273.15+$A5,Psychrometrics!$B$13,B$2)</f>
        <v>1.1765056429931758E-3</v>
      </c>
      <c r="C5">
        <f>HumidRatio1_air(273.15+$A5,Psychrometrics!$B$13,C$2)</f>
        <v>1.0586548176793021E-3</v>
      </c>
      <c r="D5">
        <f>HumidRatio1_air(273.15+$A5,Psychrometrics!$B$13,D$2)</f>
        <v>9.4084856213427564E-4</v>
      </c>
      <c r="E5">
        <f>HumidRatio1_air(273.15+$A5,Psychrometrics!$B$13,E$2)</f>
        <v>8.230868510792482E-4</v>
      </c>
      <c r="F5">
        <f>HumidRatio1_air(273.15+$A5,Psychrometrics!$B$13,F$2)</f>
        <v>7.0536965925448527E-4</v>
      </c>
      <c r="G5">
        <f>HumidRatio1_air(273.15+$A5,Psychrometrics!$B$13,G$2)</f>
        <v>5.8769696141934655E-4</v>
      </c>
      <c r="H5">
        <f>HumidRatio1_air(273.15+$A5,Psychrometrics!$B$13,H$2)</f>
        <v>4.7006873235226919E-4</v>
      </c>
      <c r="I5">
        <f>HumidRatio1_air(273.15+$A5,Psychrometrics!$B$13,I$2)</f>
        <v>3.5248494685074914E-4</v>
      </c>
      <c r="J5">
        <f>HumidRatio1_air(273.15+$A5,Psychrometrics!$B$13,J$2)</f>
        <v>2.3494557973132352E-4</v>
      </c>
      <c r="K5">
        <f>HumidRatio1_air(273.15+$A5,Psychrometrics!$B$13,K$2)</f>
        <v>1.1745060582955212E-4</v>
      </c>
    </row>
    <row r="6" spans="1:15" x14ac:dyDescent="0.2">
      <c r="A6">
        <f t="shared" si="0"/>
        <v>-12.5</v>
      </c>
      <c r="B6">
        <f>HumidRatio1_air(273.15+$A6,Psychrometrics!$B$13,B$2)</f>
        <v>1.4433715965413709E-3</v>
      </c>
      <c r="C6">
        <f>HumidRatio1_air(273.15+$A6,Psychrometrics!$B$13,C$2)</f>
        <v>1.2987330349346312E-3</v>
      </c>
      <c r="D6">
        <f>HumidRatio1_air(273.15+$A6,Psychrometrics!$B$13,D$2)</f>
        <v>1.1541615758330127E-3</v>
      </c>
      <c r="E6">
        <f>HumidRatio1_air(273.15+$A6,Psychrometrics!$B$13,E$2)</f>
        <v>1.0096571725508121E-3</v>
      </c>
      <c r="F6">
        <f>HumidRatio1_air(273.15+$A6,Psychrometrics!$B$13,F$2)</f>
        <v>8.6521977844562466E-4</v>
      </c>
      <c r="G6">
        <f>HumidRatio1_air(273.15+$A6,Psychrometrics!$B$13,G$2)</f>
        <v>7.2084934691829322E-4</v>
      </c>
      <c r="H6">
        <f>HumidRatio1_air(273.15+$A6,Psychrometrics!$B$13,H$2)</f>
        <v>5.7654583141285775E-4</v>
      </c>
      <c r="I6">
        <f>HumidRatio1_air(273.15+$A6,Psychrometrics!$B$13,I$2)</f>
        <v>4.3230918541650628E-4</v>
      </c>
      <c r="J6">
        <f>HumidRatio1_air(273.15+$A6,Psychrometrics!$B$13,J$2)</f>
        <v>2.8813936245952439E-4</v>
      </c>
      <c r="K6">
        <f>HumidRatio1_air(273.15+$A6,Psychrometrics!$B$13,K$2)</f>
        <v>1.4403631611524528E-4</v>
      </c>
    </row>
    <row r="7" spans="1:15" x14ac:dyDescent="0.2">
      <c r="A7">
        <f t="shared" si="0"/>
        <v>-10</v>
      </c>
      <c r="B7">
        <f>HumidRatio1_air(273.15+$A7,Psychrometrics!$B$13,B$2)</f>
        <v>1.7632675676740393E-3</v>
      </c>
      <c r="C7">
        <f>HumidRatio1_air(273.15+$A7,Psychrometrics!$B$13,C$2)</f>
        <v>1.5864910270552638E-3</v>
      </c>
      <c r="D7">
        <f>HumidRatio1_air(273.15+$A7,Psychrometrics!$B$13,D$2)</f>
        <v>1.4098146649729297E-3</v>
      </c>
      <c r="E7">
        <f>HumidRatio1_air(273.15+$A7,Psychrometrics!$B$13,E$2)</f>
        <v>1.2332383962950133E-3</v>
      </c>
      <c r="F7">
        <f>HumidRatio1_air(273.15+$A7,Psychrometrics!$B$13,F$2)</f>
        <v>1.0567621359859251E-3</v>
      </c>
      <c r="G7">
        <f>HumidRatio1_air(273.15+$A7,Psychrometrics!$B$13,G$2)</f>
        <v>8.8038579910637224E-4</v>
      </c>
      <c r="H7">
        <f>HumidRatio1_air(273.15+$A7,Psychrometrics!$B$13,H$2)</f>
        <v>7.0410930081322173E-4</v>
      </c>
      <c r="I7">
        <f>HumidRatio1_air(273.15+$A7,Psychrometrics!$B$13,I$2)</f>
        <v>5.2793255635936575E-4</v>
      </c>
      <c r="J7">
        <f>HumidRatio1_air(273.15+$A7,Psychrometrics!$B$13,J$2)</f>
        <v>3.5185548109358471E-4</v>
      </c>
      <c r="K7">
        <f>HumidRatio1_air(273.15+$A7,Psychrometrics!$B$13,K$2)</f>
        <v>1.7587799046041237E-4</v>
      </c>
    </row>
    <row r="8" spans="1:15" x14ac:dyDescent="0.2">
      <c r="A8">
        <f t="shared" si="0"/>
        <v>-7.5</v>
      </c>
      <c r="B8">
        <f>HumidRatio1_air(273.15+$A8,Psychrometrics!$B$13,B$2)</f>
        <v>2.1452424176928286E-3</v>
      </c>
      <c r="C8">
        <f>HumidRatio1_air(273.15+$A8,Psychrometrics!$B$13,C$2)</f>
        <v>1.9300524530074417E-3</v>
      </c>
      <c r="D8">
        <f>HumidRatio1_air(273.15+$A8,Psychrometrics!$B$13,D$2)</f>
        <v>1.7150108346874694E-3</v>
      </c>
      <c r="E8">
        <f>HumidRatio1_air(273.15+$A8,Psychrometrics!$B$13,E$2)</f>
        <v>1.5001174093865787E-3</v>
      </c>
      <c r="F8">
        <f>HumidRatio1_air(273.15+$A8,Psychrometrics!$B$13,F$2)</f>
        <v>1.2853720239697167E-3</v>
      </c>
      <c r="G8">
        <f>HumidRatio1_air(273.15+$A8,Psychrometrics!$B$13,G$2)</f>
        <v>1.0707745255127475E-3</v>
      </c>
      <c r="H8">
        <f>HumidRatio1_air(273.15+$A8,Psychrometrics!$B$13,H$2)</f>
        <v>8.5632476130208777E-4</v>
      </c>
      <c r="I8">
        <f>HumidRatio1_air(273.15+$A8,Psychrometrics!$B$13,I$2)</f>
        <v>6.4202257883434624E-4</v>
      </c>
      <c r="J8">
        <f>HumidRatio1_air(273.15+$A8,Psychrometrics!$B$13,J$2)</f>
        <v>4.2786782581596147E-4</v>
      </c>
      <c r="K8">
        <f>HumidRatio1_air(273.15+$A8,Psychrometrics!$B$13,K$2)</f>
        <v>2.1386035016284055E-4</v>
      </c>
    </row>
    <row r="9" spans="1:15" x14ac:dyDescent="0.2">
      <c r="A9">
        <f t="shared" si="0"/>
        <v>-5</v>
      </c>
      <c r="B9">
        <f>HumidRatio1_air(273.15+$A9,Psychrometrics!$B$13,B$2)</f>
        <v>2.5996380942946758E-3</v>
      </c>
      <c r="C9">
        <f>HumidRatio1_air(273.15+$A9,Psychrometrics!$B$13,C$2)</f>
        <v>2.3386967442229835E-3</v>
      </c>
      <c r="D9">
        <f>HumidRatio1_air(273.15+$A9,Psychrometrics!$B$13,D$2)</f>
        <v>2.0779733511939852E-3</v>
      </c>
      <c r="E9">
        <f>HumidRatio1_air(273.15+$A9,Psychrometrics!$B$13,E$2)</f>
        <v>1.8174676422415099E-3</v>
      </c>
      <c r="F9">
        <f>HumidRatio1_air(273.15+$A9,Psychrometrics!$B$13,F$2)</f>
        <v>1.5571793448550077E-3</v>
      </c>
      <c r="G9">
        <f>HumidRatio1_air(273.15+$A9,Psychrometrics!$B$13,G$2)</f>
        <v>1.2971081869786003E-3</v>
      </c>
      <c r="H9">
        <f>HumidRatio1_air(273.15+$A9,Psychrometrics!$B$13,H$2)</f>
        <v>1.0372538970101328E-3</v>
      </c>
      <c r="I9">
        <f>HumidRatio1_air(273.15+$A9,Psychrometrics!$B$13,I$2)</f>
        <v>7.7761620380022785E-4</v>
      </c>
      <c r="J9">
        <f>HumidRatio1_air(273.15+$A9,Psychrometrics!$B$13,J$2)</f>
        <v>5.1819483665134372E-4</v>
      </c>
      <c r="K9">
        <f>HumidRatio1_air(273.15+$A9,Psychrometrics!$B$13,K$2)</f>
        <v>2.5898952531683186E-4</v>
      </c>
    </row>
    <row r="10" spans="1:15" x14ac:dyDescent="0.2">
      <c r="A10">
        <f t="shared" si="0"/>
        <v>-2.5</v>
      </c>
      <c r="B10">
        <f>HumidRatio1_air(273.15+$A10,Psychrometrics!$B$13,B$2)</f>
        <v>3.1382434032095857E-3</v>
      </c>
      <c r="C10">
        <f>HumidRatio1_air(273.15+$A10,Psychrometrics!$B$13,C$2)</f>
        <v>2.8229946211378162E-3</v>
      </c>
      <c r="D10">
        <f>HumidRatio1_air(273.15+$A10,Psychrometrics!$B$13,D$2)</f>
        <v>2.5080636581712719E-3</v>
      </c>
      <c r="E10">
        <f>HumidRatio1_air(273.15+$A10,Psychrometrics!$B$13,E$2)</f>
        <v>2.1934500339365194E-3</v>
      </c>
      <c r="F10">
        <f>HumidRatio1_air(273.15+$A10,Psychrometrics!$B$13,F$2)</f>
        <v>1.8791532690277323E-3</v>
      </c>
      <c r="G10">
        <f>HumidRatio1_air(273.15+$A10,Psychrometrics!$B$13,G$2)</f>
        <v>1.5651728850042518E-3</v>
      </c>
      <c r="H10">
        <f>HumidRatio1_air(273.15+$A10,Psychrometrics!$B$13,H$2)</f>
        <v>1.2515084043881611E-3</v>
      </c>
      <c r="I10">
        <f>HumidRatio1_air(273.15+$A10,Psychrometrics!$B$13,I$2)</f>
        <v>9.3815935066186547E-4</v>
      </c>
      <c r="J10">
        <f>HumidRatio1_air(273.15+$A10,Psychrometrics!$B$13,J$2)</f>
        <v>6.2512524826567877E-4</v>
      </c>
      <c r="K10">
        <f>HumidRatio1_air(273.15+$A10,Psychrometrics!$B$13,K$2)</f>
        <v>3.1240562259541682E-4</v>
      </c>
    </row>
    <row r="11" spans="1:15" x14ac:dyDescent="0.2">
      <c r="A11">
        <f t="shared" si="0"/>
        <v>0</v>
      </c>
      <c r="B11">
        <f>HumidRatio1_air(273.15+$A11,Psychrometrics!$B$13,B$2)</f>
        <v>3.7744651604585361E-3</v>
      </c>
      <c r="C11">
        <f>HumidRatio1_air(273.15+$A11,Psychrometrics!$B$13,C$2)</f>
        <v>3.3949583091966631E-3</v>
      </c>
      <c r="D11">
        <f>HumidRatio1_air(273.15+$A11,Psychrometrics!$B$13,D$2)</f>
        <v>3.0159115304044574E-3</v>
      </c>
      <c r="E11">
        <f>HumidRatio1_air(273.15+$A11,Psychrometrics!$B$13,E$2)</f>
        <v>2.6373239879766393E-3</v>
      </c>
      <c r="F11">
        <f>HumidRatio1_air(273.15+$A11,Psychrometrics!$B$13,F$2)</f>
        <v>2.2591948478326825E-3</v>
      </c>
      <c r="G11">
        <f>HumidRatio1_air(273.15+$A11,Psychrometrics!$B$13,G$2)</f>
        <v>1.8815232779106823E-3</v>
      </c>
      <c r="H11">
        <f>HumidRatio1_air(273.15+$A11,Psychrometrics!$B$13,H$2)</f>
        <v>1.5043084481612568E-3</v>
      </c>
      <c r="I11">
        <f>HumidRatio1_air(273.15+$A11,Psychrometrics!$B$13,I$2)</f>
        <v>1.1275495305414645E-3</v>
      </c>
      <c r="J11">
        <f>HumidRatio1_air(273.15+$A11,Psychrometrics!$B$13,J$2)</f>
        <v>7.5124569900874606E-4</v>
      </c>
      <c r="K11">
        <f>HumidRatio1_air(273.15+$A11,Psychrometrics!$B$13,K$2)</f>
        <v>3.753961295148864E-4</v>
      </c>
    </row>
    <row r="12" spans="1:15" x14ac:dyDescent="0.2">
      <c r="A12">
        <f t="shared" si="0"/>
        <v>2.5</v>
      </c>
      <c r="B12">
        <f>HumidRatio1_air(273.15+$A12,Psychrometrics!$B$13,B$2)</f>
        <v>4.5235195666307642E-3</v>
      </c>
      <c r="C12">
        <f>HumidRatio1_air(273.15+$A12,Psychrometrics!$B$13,C$2)</f>
        <v>4.0682087274652437E-3</v>
      </c>
      <c r="D12">
        <f>HumidRatio1_air(273.15+$A12,Psychrometrics!$B$13,D$2)</f>
        <v>3.6135592380529377E-3</v>
      </c>
      <c r="E12">
        <f>HumidRatio1_air(273.15+$A12,Psychrometrics!$B$13,E$2)</f>
        <v>3.1595696585003685E-3</v>
      </c>
      <c r="F12">
        <f>HumidRatio1_air(273.15+$A12,Psychrometrics!$B$13,F$2)</f>
        <v>2.7062385530909508E-3</v>
      </c>
      <c r="G12">
        <f>HumidRatio1_air(273.15+$A12,Psychrometrics!$B$13,G$2)</f>
        <v>2.2535644902698555E-3</v>
      </c>
      <c r="H12">
        <f>HumidRatio1_air(273.15+$A12,Psychrometrics!$B$13,H$2)</f>
        <v>1.801546042628942E-3</v>
      </c>
      <c r="I12">
        <f>HumidRatio1_air(273.15+$A12,Psychrometrics!$B$13,I$2)</f>
        <v>1.3501817868917538E-3</v>
      </c>
      <c r="J12">
        <f>HumidRatio1_air(273.15+$A12,Psychrometrics!$B$13,J$2)</f>
        <v>8.9947030389858163E-4</v>
      </c>
      <c r="K12">
        <f>HumidRatio1_air(273.15+$A12,Psychrometrics!$B$13,K$2)</f>
        <v>4.4941017859158805E-4</v>
      </c>
    </row>
    <row r="13" spans="1:15" x14ac:dyDescent="0.2">
      <c r="A13">
        <f t="shared" si="0"/>
        <v>5</v>
      </c>
      <c r="B13">
        <f>HumidRatio1_air(273.15+$A13,Psychrometrics!$B$13,B$2)</f>
        <v>5.4026473544888489E-3</v>
      </c>
      <c r="C13">
        <f>HumidRatio1_air(273.15+$A13,Psychrometrics!$B$13,C$2)</f>
        <v>4.8581624808163816E-3</v>
      </c>
      <c r="D13">
        <f>HumidRatio1_air(273.15+$A13,Psychrometrics!$B$13,D$2)</f>
        <v>4.3146219215012419E-3</v>
      </c>
      <c r="E13">
        <f>HumidRatio1_air(273.15+$A13,Psychrometrics!$B$13,E$2)</f>
        <v>3.772023222048245E-3</v>
      </c>
      <c r="F13">
        <f>HumidRatio1_air(273.15+$A13,Psychrometrics!$B$13,F$2)</f>
        <v>3.2303639364612575E-3</v>
      </c>
      <c r="G13">
        <f>HumidRatio1_air(273.15+$A13,Psychrometrics!$B$13,G$2)</f>
        <v>2.6896416272064387E-3</v>
      </c>
      <c r="H13">
        <f>HumidRatio1_air(273.15+$A13,Psychrometrics!$B$13,H$2)</f>
        <v>2.1498538651756817E-3</v>
      </c>
      <c r="I13">
        <f>HumidRatio1_air(273.15+$A13,Psychrometrics!$B$13,I$2)</f>
        <v>1.6109982296502357E-3</v>
      </c>
      <c r="J13">
        <f>HumidRatio1_air(273.15+$A13,Psychrometrics!$B$13,J$2)</f>
        <v>1.0730723082645202E-3</v>
      </c>
      <c r="K13">
        <f>HumidRatio1_air(273.15+$A13,Psychrometrics!$B$13,K$2)</f>
        <v>5.3607369697012547E-4</v>
      </c>
    </row>
    <row r="14" spans="1:15" x14ac:dyDescent="0.2">
      <c r="A14">
        <f t="shared" si="0"/>
        <v>7.5</v>
      </c>
      <c r="B14">
        <f>HumidRatio1_air(273.15+$A14,Psychrometrics!$B$13,B$2)</f>
        <v>6.4313571570060509E-3</v>
      </c>
      <c r="C14">
        <f>HumidRatio1_air(273.15+$A14,Psychrometrics!$B$13,C$2)</f>
        <v>5.7822421883680156E-3</v>
      </c>
      <c r="D14">
        <f>HumidRatio1_air(273.15+$A14,Psychrometrics!$B$13,D$2)</f>
        <v>5.1344669118765828E-3</v>
      </c>
      <c r="E14">
        <f>HumidRatio1_air(273.15+$A14,Psychrometrics!$B$13,E$2)</f>
        <v>4.4880271843715696E-3</v>
      </c>
      <c r="F14">
        <f>HumidRatio1_air(273.15+$A14,Psychrometrics!$B$13,F$2)</f>
        <v>3.8429188797595012E-3</v>
      </c>
      <c r="G14">
        <f>HumidRatio1_air(273.15+$A14,Psychrometrics!$B$13,G$2)</f>
        <v>3.1991378889258183E-3</v>
      </c>
      <c r="H14">
        <f>HumidRatio1_air(273.15+$A14,Psychrometrics!$B$13,H$2)</f>
        <v>2.556680119647636E-3</v>
      </c>
      <c r="I14">
        <f>HumidRatio1_air(273.15+$A14,Psychrometrics!$B$13,I$2)</f>
        <v>1.9155414965070332E-3</v>
      </c>
      <c r="J14">
        <f>HumidRatio1_air(273.15+$A14,Psychrometrics!$B$13,J$2)</f>
        <v>1.2757179608048797E-3</v>
      </c>
      <c r="K14">
        <f>HumidRatio1_air(273.15+$A14,Psychrometrics!$B$13,K$2)</f>
        <v>6.3720547047518871E-4</v>
      </c>
    </row>
    <row r="15" spans="1:15" x14ac:dyDescent="0.2">
      <c r="A15">
        <f t="shared" si="0"/>
        <v>10</v>
      </c>
      <c r="B15">
        <f>HumidRatio1_air(273.15+$A15,Psychrometrics!$B$13,B$2)</f>
        <v>7.6317026731561747E-3</v>
      </c>
      <c r="C15">
        <f>HumidRatio1_air(273.15+$A15,Psychrometrics!$B$13,C$2)</f>
        <v>6.8601145626798017E-3</v>
      </c>
      <c r="D15">
        <f>HumidRatio1_air(273.15+$A15,Psychrometrics!$B$13,D$2)</f>
        <v>6.0904154022360796E-3</v>
      </c>
      <c r="E15">
        <f>HumidRatio1_air(273.15+$A15,Psychrometrics!$B$13,E$2)</f>
        <v>5.3225982637051588E-3</v>
      </c>
      <c r="F15">
        <f>HumidRatio1_air(273.15+$A15,Psychrometrics!$B$13,F$2)</f>
        <v>4.5566562528062638E-3</v>
      </c>
      <c r="G15">
        <f>HumidRatio1_air(273.15+$A15,Psychrometrics!$B$13,G$2)</f>
        <v>3.7925825088913376E-3</v>
      </c>
      <c r="H15">
        <f>HumidRatio1_air(273.15+$A15,Psychrometrics!$B$13,H$2)</f>
        <v>3.0303702047402032E-3</v>
      </c>
      <c r="I15">
        <f>HumidRatio1_air(273.15+$A15,Psychrometrics!$B$13,I$2)</f>
        <v>2.2700125463572217E-3</v>
      </c>
      <c r="J15">
        <f>HumidRatio1_air(273.15+$A15,Psychrometrics!$B$13,J$2)</f>
        <v>1.5115027727694275E-3</v>
      </c>
      <c r="K15">
        <f>HumidRatio1_air(273.15+$A15,Psychrometrics!$B$13,K$2)</f>
        <v>7.5483415582613359E-4</v>
      </c>
    </row>
    <row r="16" spans="1:15" x14ac:dyDescent="0.2">
      <c r="A16">
        <f t="shared" si="0"/>
        <v>12.5</v>
      </c>
      <c r="B16">
        <f>HumidRatio1_air(273.15+$A16,Psychrometrics!$B$13,B$2)</f>
        <v>9.0286006366725909E-3</v>
      </c>
      <c r="C16">
        <f>HumidRatio1_air(273.15+$A16,Psychrometrics!$B$13,C$2)</f>
        <v>8.1139617629274793E-3</v>
      </c>
      <c r="D16">
        <f>HumidRatio1_air(273.15+$A16,Psychrometrics!$B$13,D$2)</f>
        <v>7.2019707126962651E-3</v>
      </c>
      <c r="E16">
        <f>HumidRatio1_air(273.15+$A16,Psychrometrics!$B$13,E$2)</f>
        <v>6.2926160046674721E-3</v>
      </c>
      <c r="F16">
        <f>HumidRatio1_air(273.15+$A16,Psychrometrics!$B$13,F$2)</f>
        <v>5.3858862238131263E-3</v>
      </c>
      <c r="G16">
        <f>HumidRatio1_air(273.15+$A16,Psychrometrics!$B$13,G$2)</f>
        <v>4.4817700209111066E-3</v>
      </c>
      <c r="H16">
        <f>HumidRatio1_air(273.15+$A16,Psychrometrics!$B$13,H$2)</f>
        <v>3.5802561120716358E-3</v>
      </c>
      <c r="I16">
        <f>HumidRatio1_air(273.15+$A16,Psychrometrics!$B$13,I$2)</f>
        <v>2.6813332782678373E-3</v>
      </c>
      <c r="J16">
        <f>HumidRatio1_air(273.15+$A16,Psychrometrics!$B$13,J$2)</f>
        <v>1.7849903648703483E-3</v>
      </c>
      <c r="K16">
        <f>HumidRatio1_air(273.15+$A16,Psychrometrics!$B$13,K$2)</f>
        <v>8.9121628118592178E-4</v>
      </c>
    </row>
    <row r="17" spans="1:15" x14ac:dyDescent="0.2">
      <c r="A17">
        <f t="shared" si="0"/>
        <v>15</v>
      </c>
      <c r="B17">
        <f>HumidRatio1_air(273.15+$A17,Psychrometrics!$B$13,B$2)</f>
        <v>1.0650198401884223E-2</v>
      </c>
      <c r="C17">
        <f>HumidRatio1_air(273.15+$A17,Psychrometrics!$B$13,C$2)</f>
        <v>9.5687929418584606E-3</v>
      </c>
      <c r="D17">
        <f>HumidRatio1_air(273.15+$A17,Psychrometrics!$B$13,D$2)</f>
        <v>8.4910784426851169E-3</v>
      </c>
      <c r="E17">
        <f>HumidRatio1_air(273.15+$A17,Psychrometrics!$B$13,E$2)</f>
        <v>7.4170360400482131E-3</v>
      </c>
      <c r="F17">
        <f>HumidRatio1_air(273.15+$A17,Psychrometrics!$B$13,F$2)</f>
        <v>6.346646997965907E-3</v>
      </c>
      <c r="G17">
        <f>HumidRatio1_air(273.15+$A17,Psychrometrics!$B$13,G$2)</f>
        <v>5.2798927077010067E-3</v>
      </c>
      <c r="H17">
        <f>HumidRatio1_air(273.15+$A17,Psychrometrics!$B$13,H$2)</f>
        <v>4.216754686682595E-3</v>
      </c>
      <c r="I17">
        <f>HumidRatio1_air(273.15+$A17,Psychrometrics!$B$13,I$2)</f>
        <v>3.1572145774385768E-3</v>
      </c>
      <c r="J17">
        <f>HumidRatio1_air(273.15+$A17,Psychrometrics!$B$13,J$2)</f>
        <v>2.1012541465390642E-3</v>
      </c>
      <c r="K17">
        <f>HumidRatio1_air(273.15+$A17,Psychrometrics!$B$13,K$2)</f>
        <v>1.0488552835504414E-3</v>
      </c>
    </row>
    <row r="18" spans="1:15" x14ac:dyDescent="0.2">
      <c r="A18">
        <f t="shared" si="0"/>
        <v>17.5</v>
      </c>
      <c r="B18">
        <f>HumidRatio1_air(273.15+$A18,Psychrometrics!$B$13,B$2)</f>
        <v>1.2528302261451527E-2</v>
      </c>
      <c r="C18">
        <f>HumidRatio1_air(273.15+$A18,Psychrometrics!$B$13,C$2)</f>
        <v>1.1252804671116803E-2</v>
      </c>
      <c r="D18">
        <f>HumidRatio1_air(273.15+$A18,Psychrometrics!$B$13,D$2)</f>
        <v>9.9824251214400538E-3</v>
      </c>
      <c r="E18">
        <f>HumidRatio1_air(273.15+$A18,Psychrometrics!$B$13,E$2)</f>
        <v>8.7171328692523618E-3</v>
      </c>
      <c r="F18">
        <f>HumidRatio1_air(273.15+$A18,Psychrometrics!$B$13,F$2)</f>
        <v>7.4568974171178573E-3</v>
      </c>
      <c r="G18">
        <f>HumidRatio1_air(273.15+$A18,Psychrometrics!$B$13,G$2)</f>
        <v>6.2016885108833993E-3</v>
      </c>
      <c r="H18">
        <f>HumidRatio1_air(273.15+$A18,Psychrometrics!$B$13,H$2)</f>
        <v>4.9514761372575255E-3</v>
      </c>
      <c r="I18">
        <f>HumidRatio1_air(273.15+$A18,Psychrometrics!$B$13,I$2)</f>
        <v>3.7062305214182593E-3</v>
      </c>
      <c r="J18">
        <f>HumidRatio1_air(273.15+$A18,Psychrometrics!$B$13,J$2)</f>
        <v>2.4659221246493622E-3</v>
      </c>
      <c r="K18">
        <f>HumidRatio1_air(273.15+$A18,Psychrometrics!$B$13,K$2)</f>
        <v>1.2305216420046535E-3</v>
      </c>
    </row>
    <row r="19" spans="1:15" x14ac:dyDescent="0.2">
      <c r="A19">
        <f t="shared" si="0"/>
        <v>20</v>
      </c>
      <c r="B19">
        <f>HumidRatio1_air(273.15+$A19,Psychrometrics!$B$13,B$2)</f>
        <v>1.4698880552202994E-2</v>
      </c>
      <c r="C19">
        <f>HumidRatio1_air(273.15+$A19,Psychrometrics!$B$13,C$2)</f>
        <v>1.3197801169302706E-2</v>
      </c>
      <c r="D19">
        <f>HumidRatio1_air(273.15+$A19,Psychrometrics!$B$13,D$2)</f>
        <v>1.170378362800655E-2</v>
      </c>
      <c r="E19">
        <f>HumidRatio1_air(273.15+$A19,Psychrometrics!$B$13,E$2)</f>
        <v>1.0216778211514049E-2</v>
      </c>
      <c r="F19">
        <f>HumidRatio1_air(273.15+$A19,Psychrometrics!$B$13,F$2)</f>
        <v>8.7367356686206075E-3</v>
      </c>
      <c r="G19">
        <f>HumidRatio1_air(273.15+$A19,Psychrometrics!$B$13,G$2)</f>
        <v>7.2636072082798838E-3</v>
      </c>
      <c r="H19">
        <f>HumidRatio1_air(273.15+$A19,Psychrometrics!$B$13,H$2)</f>
        <v>5.7973444942421822E-3</v>
      </c>
      <c r="I19">
        <f>HumidRatio1_air(273.15+$A19,Psychrometrics!$B$13,I$2)</f>
        <v>4.3378996397676556E-3</v>
      </c>
      <c r="J19">
        <f>HumidRatio1_air(273.15+$A19,Psychrometrics!$B$13,J$2)</f>
        <v>2.8852252024130719E-3</v>
      </c>
      <c r="K19">
        <f>HumidRatio1_air(273.15+$A19,Psychrometrics!$B$13,K$2)</f>
        <v>1.4392741788909625E-3</v>
      </c>
    </row>
    <row r="20" spans="1:15" x14ac:dyDescent="0.2">
      <c r="A20">
        <f t="shared" si="0"/>
        <v>22.5</v>
      </c>
      <c r="B20">
        <f>HumidRatio1_air(273.15+$A20,Psychrometrics!$B$13,B$2)</f>
        <v>1.7202659389176676E-2</v>
      </c>
      <c r="C20">
        <f>HumidRatio1_air(273.15+$A20,Psychrometrics!$B$13,C$2)</f>
        <v>1.5439688115266035E-2</v>
      </c>
      <c r="D20">
        <f>HumidRatio1_air(273.15+$A20,Psychrometrics!$B$13,D$2)</f>
        <v>1.3686415752760309E-2</v>
      </c>
      <c r="E20">
        <f>HumidRatio1_air(273.15+$A20,Psychrometrics!$B$13,E$2)</f>
        <v>1.1942762483993993E-2</v>
      </c>
      <c r="F20">
        <f>HumidRatio1_air(273.15+$A20,Psychrometrics!$B$13,F$2)</f>
        <v>1.0208649364723477E-2</v>
      </c>
      <c r="G20">
        <f>HumidRatio1_air(273.15+$A20,Psychrometrics!$B$13,G$2)</f>
        <v>8.4839983122126095E-3</v>
      </c>
      <c r="H20">
        <f>HumidRatio1_air(273.15+$A20,Psychrometrics!$B$13,H$2)</f>
        <v>6.7687320935128047E-3</v>
      </c>
      <c r="I20">
        <f>HumidRatio1_air(273.15+$A20,Psychrometrics!$B$13,I$2)</f>
        <v>5.0627743139339196E-3</v>
      </c>
      <c r="J20">
        <f>HumidRatio1_air(273.15+$A20,Psychrometrics!$B$13,J$2)</f>
        <v>3.3660494057023483E-3</v>
      </c>
      <c r="K20">
        <f>HumidRatio1_air(273.15+$A20,Psychrometrics!$B$13,K$2)</f>
        <v>1.678482616802753E-3</v>
      </c>
    </row>
    <row r="21" spans="1:15" x14ac:dyDescent="0.2">
      <c r="A21">
        <f t="shared" si="0"/>
        <v>25</v>
      </c>
      <c r="B21">
        <f>HumidRatio1_air(273.15+$A21,Psychrometrics!$B$13,B$2)</f>
        <v>2.0085833770744181E-2</v>
      </c>
      <c r="C21">
        <f>HumidRatio1_air(273.15+$A21,Psychrometrics!$B$13,C$2)</f>
        <v>1.801905749982113E-2</v>
      </c>
      <c r="D21">
        <f>HumidRatio1_air(273.15+$A21,Psychrometrics!$B$13,D$2)</f>
        <v>1.5965544945724396E-2</v>
      </c>
      <c r="E21">
        <f>HumidRatio1_air(273.15+$A21,Psychrometrics!$B$13,E$2)</f>
        <v>1.3925168835259504E-2</v>
      </c>
      <c r="F21">
        <f>HumidRatio1_air(273.15+$A21,Psychrometrics!$B$13,F$2)</f>
        <v>1.1897803518388862E-2</v>
      </c>
      <c r="G21">
        <f>HumidRatio1_air(273.15+$A21,Psychrometrics!$B$13,G$2)</f>
        <v>9.8833249424381802E-3</v>
      </c>
      <c r="H21">
        <f>HumidRatio1_air(273.15+$A21,Psychrometrics!$B$13,H$2)</f>
        <v>7.8816106267931996E-3</v>
      </c>
      <c r="I21">
        <f>HumidRatio1_air(273.15+$A21,Psychrometrics!$B$13,I$2)</f>
        <v>5.8925396380758869E-3</v>
      </c>
      <c r="J21">
        <f>HumidRatio1_air(273.15+$A21,Psychrometrics!$B$13,J$2)</f>
        <v>3.9159925657895212E-3</v>
      </c>
      <c r="K21">
        <f>HumidRatio1_air(273.15+$A21,Psychrometrics!$B$13,K$2)</f>
        <v>1.9518514984223816E-3</v>
      </c>
    </row>
    <row r="22" spans="1:15" x14ac:dyDescent="0.2">
      <c r="A22">
        <f t="shared" si="0"/>
        <v>27.5</v>
      </c>
      <c r="B22">
        <f>HumidRatio1_air(273.15+$A22,Psychrometrics!$B$13,B$2)</f>
        <v>2.3400923201322671E-2</v>
      </c>
      <c r="C22">
        <f>HumidRatio1_air(273.15+$A22,Psychrometrics!$B$13,C$2)</f>
        <v>2.0981885717823591E-2</v>
      </c>
      <c r="D22">
        <f>HumidRatio1_air(273.15+$A22,Psychrometrics!$B$13,D$2)</f>
        <v>1.8580915720841189E-2</v>
      </c>
      <c r="E22">
        <f>HumidRatio1_air(273.15+$A22,Psychrometrics!$B$13,E$2)</f>
        <v>1.6197811547797297E-2</v>
      </c>
      <c r="F22">
        <f>HumidRatio1_air(273.15+$A22,Psychrometrics!$B$13,F$2)</f>
        <v>1.3832374526166265E-2</v>
      </c>
      <c r="G22">
        <f>HumidRatio1_air(273.15+$A22,Psychrometrics!$B$13,G$2)</f>
        <v>1.1484408918262691E-2</v>
      </c>
      <c r="H22">
        <f>HumidRatio1_air(273.15+$A22,Psychrometrics!$B$13,H$2)</f>
        <v>9.1537218672480807E-3</v>
      </c>
      <c r="I22">
        <f>HumidRatio1_air(273.15+$A22,Psychrometrics!$B$13,I$2)</f>
        <v>6.8401233443251405E-3</v>
      </c>
      <c r="J22">
        <f>HumidRatio1_air(273.15+$A22,Psychrometrics!$B$13,J$2)</f>
        <v>4.5434260970893372E-3</v>
      </c>
      <c r="K22">
        <f>HumidRatio1_air(273.15+$A22,Psychrometrics!$B$13,K$2)</f>
        <v>2.2634455990082334E-3</v>
      </c>
    </row>
    <row r="23" spans="1:15" x14ac:dyDescent="0.2">
      <c r="A23">
        <f t="shared" si="0"/>
        <v>30</v>
      </c>
      <c r="B23">
        <f>HumidRatio1_air(273.15+$A23,Psychrometrics!$B$13,B$2)</f>
        <v>2.7207809415959641E-2</v>
      </c>
      <c r="C23">
        <f>HumidRatio1_air(273.15+$A23,Psychrometrics!$B$13,C$2)</f>
        <v>2.4380373295831342E-2</v>
      </c>
      <c r="D23">
        <f>HumidRatio1_air(273.15+$A23,Psychrometrics!$B$13,D$2)</f>
        <v>2.1577460602810357E-2</v>
      </c>
      <c r="E23">
        <f>HumidRatio1_air(273.15+$A23,Psychrometrics!$B$13,E$2)</f>
        <v>1.8798753663056552E-2</v>
      </c>
      <c r="F23">
        <f>HumidRatio1_air(273.15+$A23,Psychrometrics!$B$13,F$2)</f>
        <v>1.604394026595685E-2</v>
      </c>
      <c r="G23">
        <f>HumidRatio1_air(273.15+$A23,Psychrometrics!$B$13,G$2)</f>
        <v>1.3312713547184997E-2</v>
      </c>
      <c r="H23">
        <f>HumidRatio1_air(273.15+$A23,Psychrometrics!$B$13,H$2)</f>
        <v>1.0604771874752292E-2</v>
      </c>
      <c r="I23">
        <f>HumidRatio1_air(273.15+$A23,Psychrometrics!$B$13,I$2)</f>
        <v>7.9198187379603442E-3</v>
      </c>
      <c r="J23">
        <f>HumidRatio1_air(273.15+$A23,Psychrometrics!$B$13,J$2)</f>
        <v>5.2575626391700202E-3</v>
      </c>
      <c r="K23">
        <f>HumidRatio1_air(273.15+$A23,Psychrometrics!$B$13,K$2)</f>
        <v>2.617716988303606E-3</v>
      </c>
    </row>
    <row r="24" spans="1:15" x14ac:dyDescent="0.2">
      <c r="A24">
        <f t="shared" si="0"/>
        <v>32.5</v>
      </c>
      <c r="B24">
        <f>HumidRatio1_air(273.15+$A24,Psychrometrics!$B$13,B$2)</f>
        <v>3.1575005015195286E-2</v>
      </c>
      <c r="C24">
        <f>HumidRatio1_air(273.15+$A24,Psychrometrics!$B$13,C$2)</f>
        <v>2.827396279902596E-2</v>
      </c>
      <c r="D24">
        <f>HumidRatio1_air(273.15+$A24,Psychrometrics!$B$13,D$2)</f>
        <v>2.5006101248302312E-2</v>
      </c>
      <c r="E24">
        <f>HumidRatio1_air(273.15+$A24,Psychrometrics!$B$13,E$2)</f>
        <v>2.1770922587934789E-2</v>
      </c>
      <c r="F24">
        <f>HumidRatio1_air(273.15+$A24,Psychrometrics!$B$13,F$2)</f>
        <v>1.8567938950095172E-2</v>
      </c>
      <c r="G24">
        <f>HumidRatio1_air(273.15+$A24,Psychrometrics!$B$13,G$2)</f>
        <v>1.539667212895557E-2</v>
      </c>
      <c r="H24">
        <f>HumidRatio1_air(273.15+$A24,Psychrometrics!$B$13,H$2)</f>
        <v>1.2256653342677445E-2</v>
      </c>
      <c r="I24">
        <f>HumidRatio1_air(273.15+$A24,Psychrometrics!$B$13,I$2)</f>
        <v>9.1474230024018582E-3</v>
      </c>
      <c r="J24">
        <f>HumidRatio1_air(273.15+$A24,Psychrometrics!$B$13,J$2)</f>
        <v>6.0685304880018455E-3</v>
      </c>
      <c r="K24">
        <f>HumidRatio1_air(273.15+$A24,Psychrometrics!$B$13,K$2)</f>
        <v>3.0195339303670894E-3</v>
      </c>
    </row>
    <row r="25" spans="1:15" x14ac:dyDescent="0.2">
      <c r="A25">
        <f t="shared" si="0"/>
        <v>35</v>
      </c>
      <c r="B25">
        <f>HumidRatio1_air(273.15+$A25,Psychrometrics!$B$13,B$2)</f>
        <v>3.6581216901737948E-2</v>
      </c>
      <c r="C25">
        <f>HumidRatio1_air(273.15+$A25,Psychrometrics!$B$13,C$2)</f>
        <v>3.2730582283598417E-2</v>
      </c>
      <c r="D25">
        <f>HumidRatio1_air(273.15+$A25,Psychrometrics!$B$13,D$2)</f>
        <v>2.8924717910458819E-2</v>
      </c>
      <c r="E25">
        <f>HumidRatio1_air(273.15+$A25,Psychrometrics!$B$13,E$2)</f>
        <v>2.5162847498577428E-2</v>
      </c>
      <c r="F25">
        <f>HumidRatio1_air(273.15+$A25,Psychrometrics!$B$13,F$2)</f>
        <v>2.1444212608012866E-2</v>
      </c>
      <c r="G25">
        <f>HumidRatio1_air(273.15+$A25,Psychrometrics!$B$13,G$2)</f>
        <v>1.7768072132852426E-2</v>
      </c>
      <c r="H25">
        <f>HumidRatio1_air(273.15+$A25,Psychrometrics!$B$13,H$2)</f>
        <v>1.4133701808817282E-2</v>
      </c>
      <c r="I25">
        <f>HumidRatio1_air(273.15+$A25,Psychrometrics!$B$13,I$2)</f>
        <v>1.0540393737557352E-2</v>
      </c>
      <c r="J25">
        <f>HumidRatio1_air(273.15+$A25,Psychrometrics!$B$13,J$2)</f>
        <v>6.9874559269796216E-3</v>
      </c>
      <c r="K25">
        <f>HumidRatio1_air(273.15+$A25,Psychrometrics!$B$13,K$2)</f>
        <v>3.4742118469828984E-3</v>
      </c>
    </row>
    <row r="26" spans="1:15" x14ac:dyDescent="0.2">
      <c r="A26">
        <f t="shared" si="0"/>
        <v>37.5</v>
      </c>
      <c r="B26">
        <f>HumidRatio1_air(273.15+$A26,Psychrometrics!$B$13,B$2)</f>
        <v>4.231728890011608E-2</v>
      </c>
      <c r="C26">
        <f>HumidRatio1_air(273.15+$A26,Psychrometrics!$B$13,C$2)</f>
        <v>3.78281761803465E-2</v>
      </c>
      <c r="D26">
        <f>HumidRatio1_air(273.15+$A26,Psychrometrics!$B$13,D$2)</f>
        <v>3.3399331395603249E-2</v>
      </c>
      <c r="E26">
        <f>HumidRatio1_air(273.15+$A26,Psychrometrics!$B$13,E$2)</f>
        <v>2.9029548960892739E-2</v>
      </c>
      <c r="F26">
        <f>HumidRatio1_air(273.15+$A26,Psychrometrics!$B$13,F$2)</f>
        <v>2.4717655233203639E-2</v>
      </c>
      <c r="G26">
        <f>HumidRatio1_air(273.15+$A26,Psychrometrics!$B$13,G$2)</f>
        <v>2.0462507460589092E-2</v>
      </c>
      <c r="H26">
        <f>HumidRatio1_air(273.15+$A26,Psychrometrics!$B$13,H$2)</f>
        <v>1.6262992772469006E-2</v>
      </c>
      <c r="I26">
        <f>HumidRatio1_air(273.15+$A26,Psychrometrics!$B$13,I$2)</f>
        <v>1.2118027209278404E-2</v>
      </c>
      <c r="J26">
        <f>HumidRatio1_air(273.15+$A26,Psychrometrics!$B$13,J$2)</f>
        <v>8.0265547896845937E-3</v>
      </c>
      <c r="K26">
        <f>HumidRatio1_air(273.15+$A26,Psychrometrics!$B$13,K$2)</f>
        <v>3.9875466136870654E-3</v>
      </c>
    </row>
    <row r="27" spans="1:15" x14ac:dyDescent="0.2">
      <c r="A27">
        <f t="shared" si="0"/>
        <v>40</v>
      </c>
      <c r="B27">
        <f>HumidRatio1_air(273.15+$A27,Psychrometrics!$B$13,B$2)</f>
        <v>4.8888636097189776E-2</v>
      </c>
      <c r="C27">
        <f>HumidRatio1_air(273.15+$A27,Psychrometrics!$B$13,C$2)</f>
        <v>4.365660518423805E-2</v>
      </c>
      <c r="D27">
        <f>HumidRatio1_air(273.15+$A27,Psychrometrics!$B$13,D$2)</f>
        <v>3.8505555006767674E-2</v>
      </c>
      <c r="E27">
        <f>HumidRatio1_air(273.15+$A27,Psychrometrics!$B$13,E$2)</f>
        <v>3.3433619888235094E-2</v>
      </c>
      <c r="F27">
        <f>HumidRatio1_air(273.15+$A27,Psychrometrics!$B$13,F$2)</f>
        <v>2.8438991025248484E-2</v>
      </c>
      <c r="G27">
        <f>HumidRatio1_air(273.15+$A27,Psychrometrics!$B$13,G$2)</f>
        <v>2.3519914336812105E-2</v>
      </c>
      <c r="H27">
        <f>HumidRatio1_air(273.15+$A27,Psychrometrics!$B$13,H$2)</f>
        <v>1.867468841043958E-2</v>
      </c>
      <c r="I27">
        <f>HumidRatio1_air(273.15+$A27,Psychrometrics!$B$13,I$2)</f>
        <v>1.3901662540083685E-2</v>
      </c>
      <c r="J27">
        <f>HumidRatio1_air(273.15+$A27,Psychrometrics!$B$13,J$2)</f>
        <v>9.1992348511295563E-3</v>
      </c>
      <c r="K27">
        <f>HumidRatio1_air(273.15+$A27,Psychrometrics!$B$13,K$2)</f>
        <v>4.5658505079771853E-3</v>
      </c>
    </row>
    <row r="28" spans="1:15" x14ac:dyDescent="0.2">
      <c r="A28">
        <f>Psychrometrics!$B$2</f>
        <v>0</v>
      </c>
      <c r="L28">
        <f>Psychrometrics!$B$5</f>
        <v>3.0159115304044574E-3</v>
      </c>
    </row>
    <row r="29" spans="1:15" x14ac:dyDescent="0.2">
      <c r="A29">
        <f>Psychrometrics!$B$12</f>
        <v>20</v>
      </c>
      <c r="M29">
        <f>Psychrometrics!$B$15</f>
        <v>5.7975207178693009E-3</v>
      </c>
    </row>
    <row r="30" spans="1:15" x14ac:dyDescent="0.2">
      <c r="A30">
        <f>Psychrometrics!$B$21</f>
        <v>30</v>
      </c>
      <c r="B30" s="5"/>
      <c r="C30" s="5"/>
      <c r="D30" s="5"/>
      <c r="E30" s="5"/>
      <c r="F30" s="5"/>
      <c r="G30" s="5"/>
      <c r="H30" s="5"/>
      <c r="I30" s="5"/>
      <c r="J30" s="5"/>
      <c r="K30" s="5"/>
      <c r="N30">
        <f>Psychrometrics!$B$23</f>
        <v>1.3312713547184997E-2</v>
      </c>
    </row>
    <row r="31" spans="1:15" x14ac:dyDescent="0.2">
      <c r="A31">
        <f>Psychrometrics!$B$30</f>
        <v>28</v>
      </c>
      <c r="O31">
        <f>Psychrometrics!$B$33</f>
        <v>1.6690438905297821E-2</v>
      </c>
    </row>
    <row r="32" spans="1:15" x14ac:dyDescent="0.2">
      <c r="B32" s="5"/>
      <c r="C32" s="6"/>
      <c r="D32" s="6"/>
      <c r="E32" s="6"/>
      <c r="F32" s="6"/>
      <c r="G32" s="6"/>
      <c r="H32" s="6"/>
      <c r="I32" s="6"/>
      <c r="J32" s="6"/>
      <c r="K32" s="6"/>
    </row>
  </sheetData>
  <phoneticPr fontId="11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12</vt:i4>
      </vt:variant>
    </vt:vector>
  </HeadingPairs>
  <TitlesOfParts>
    <vt:vector size="14" baseType="lpstr">
      <vt:lpstr>Psychrometrics</vt:lpstr>
      <vt:lpstr>chart data</vt:lpstr>
      <vt:lpstr>a_1</vt:lpstr>
      <vt:lpstr>a_2</vt:lpstr>
      <vt:lpstr>a_3</vt:lpstr>
      <vt:lpstr>a_4</vt:lpstr>
      <vt:lpstr>a_5</vt:lpstr>
      <vt:lpstr>a_6</vt:lpstr>
      <vt:lpstr>b_1</vt:lpstr>
      <vt:lpstr>b_2</vt:lpstr>
      <vt:lpstr>b_3</vt:lpstr>
      <vt:lpstr>b_4</vt:lpstr>
      <vt:lpstr>b_5</vt:lpstr>
      <vt:lpstr>b_6</vt:lpstr>
    </vt:vector>
  </TitlesOfParts>
  <Company>NBI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 G. Schild</dc:creator>
  <cp:lastModifiedBy>Peter G. Schild</cp:lastModifiedBy>
  <cp:lastPrinted>1999-04-15T12:10:12Z</cp:lastPrinted>
  <dcterms:created xsi:type="dcterms:W3CDTF">1999-04-09T11:03:35Z</dcterms:created>
  <dcterms:modified xsi:type="dcterms:W3CDTF">2018-08-10T06:17:41Z</dcterms:modified>
</cp:coreProperties>
</file>